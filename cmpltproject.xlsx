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D:\&amp; to &amp; excel project\"/>
    </mc:Choice>
  </mc:AlternateContent>
  <xr:revisionPtr revIDLastSave="0" documentId="13_ncr:10000001_{77BE592F-FF53-46A2-B872-C98438ED57B6}" xr6:coauthVersionLast="47" xr6:coauthVersionMax="47" xr10:uidLastSave="{00000000-0000-0000-0000-000000000000}"/>
  <bookViews>
    <workbookView xWindow="0" yWindow="360" windowWidth="19420" windowHeight="10300" xr2:uid="{EB45286A-7DF0-4385-853D-FF87A2BB1EDD}"/>
  </bookViews>
  <sheets>
    <sheet name="Pivot_report" sheetId="1" r:id="rId1"/>
    <sheet name="Average Wait Time Daily Trend" sheetId="4" r:id="rId2"/>
    <sheet name="Dashboard" sheetId="2" r:id="rId3"/>
    <sheet name="Daily Er No of Patient" sheetId="3" r:id="rId4"/>
    <sheet name="Satisfaction Score Daily Trends" sheetId="5" r:id="rId5"/>
  </sheets>
  <definedNames>
    <definedName name="Slicer_Date__Month">#N/A</definedName>
    <definedName name="Slicer_Date__Year">#N/A</definedName>
  </definedNames>
  <calcPr calcId="191029"/>
  <pivotCaches>
    <pivotCache cacheId="166" r:id="rId6"/>
    <pivotCache cacheId="168" r:id="rId7"/>
    <pivotCache cacheId="170" r:id="rId8"/>
    <pivotCache cacheId="172" r:id="rId9"/>
    <pivotCache cacheId="174" r:id="rId10"/>
    <pivotCache cacheId="176" r:id="rId11"/>
    <pivotCache cacheId="178" r:id="rId12"/>
    <pivotCache cacheId="180" r:id="rId13"/>
    <pivotCache cacheId="182" r:id="rId14"/>
    <pivotCache cacheId="184" r:id="rId15"/>
    <pivotCache cacheId="186" r:id="rId16"/>
    <pivotCache cacheId="189" r:id="rId17"/>
  </pivotCaches>
  <fileRecoveryPr repairLoad="1"/>
  <extLst>
    <ext xmlns:x14="http://schemas.microsoft.com/office/spreadsheetml/2009/9/main" uri="{876F7934-8845-4945-9796-88D515C7AA90}">
      <x14:pivotCaches>
        <pivotCache cacheId="53"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7e17fa7-f8ac-47b8-9af4-11aad1a00da8" name="Hospital Emergency Room Data" connection="Query - Hospital Emergency Room Data"/>
          <x15:modelTable id="Calender_Table_1527ded5-7115-414d-a003-50508892513f" name="Calender_Table" connection="Query - Calender_Table"/>
        </x15:modelTables>
        <x15:modelRelationships>
          <x15:modelRelationship fromTable="Hospital Emergency Room Data" fromColumn="Patient Admission Date" toTable="Calender_Table" toColumn="Date"/>
        </x15:modelRelationships>
        <x15:extLst>
          <ext xmlns:x16="http://schemas.microsoft.com/office/spreadsheetml/2014/11/main" uri="{9835A34E-60A6-4A7C-AAB8-D5F71C897F49}">
            <x16:modelTimeGroupings>
              <x16:modelTimeGrouping tableName="Calende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54" i="1" l="1"/>
  <c r="C54" i="1"/>
  <c r="B54" i="1"/>
  <c r="D53" i="1"/>
  <c r="C53" i="1"/>
  <c r="B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637759-F2DF-4F1F-993F-672CCA8BF802}" name="Query - Calender_Table" description="Connection to the 'Calender_Table' query in the workbook." type="100" refreshedVersion="8" minRefreshableVersion="5">
    <extLst>
      <ext xmlns:x15="http://schemas.microsoft.com/office/spreadsheetml/2010/11/main" uri="{DE250136-89BD-433C-8126-D09CA5730AF9}">
        <x15:connection id="61c25557-e52a-49bd-885d-22b137a36530"/>
      </ext>
    </extLst>
  </connection>
  <connection id="2" xr16:uid="{21C577A8-1F86-4880-94A4-09226FB3658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86c6271e-d6d9-42c0-934e-fa6a823ecf00"/>
      </ext>
    </extLst>
  </connection>
  <connection id="3" xr16:uid="{CF83B683-E175-4256-BDDC-D8ABE65B87B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<sst xmlns="http://schemas.openxmlformats.org/spreadsheetml/2006/main" count="148" uniqueCount="76">
  <si>
    <t>Row Labels</t>
  </si>
  <si>
    <t>Grand Total</t>
  </si>
  <si>
    <t>Distinct Count of Patient Id</t>
  </si>
  <si>
    <t>No. of patient</t>
  </si>
  <si>
    <t>Average of Patient Waittime</t>
  </si>
  <si>
    <t>Average of Patient Satisfaction Score</t>
  </si>
  <si>
    <t>1-Feb</t>
  </si>
  <si>
    <t>2-Feb</t>
  </si>
  <si>
    <t>3-Feb</t>
  </si>
  <si>
    <t>4-Feb</t>
  </si>
  <si>
    <t>5-Feb</t>
  </si>
  <si>
    <t>6-Feb</t>
  </si>
  <si>
    <t>7-Feb</t>
  </si>
  <si>
    <t>8-Feb</t>
  </si>
  <si>
    <t>9-Feb</t>
  </si>
  <si>
    <t>10-Feb</t>
  </si>
  <si>
    <t>13-Feb</t>
  </si>
  <si>
    <t>14-Feb</t>
  </si>
  <si>
    <t>15-Feb</t>
  </si>
  <si>
    <t>16-Feb</t>
  </si>
  <si>
    <t>17-Feb</t>
  </si>
  <si>
    <t>18-Feb</t>
  </si>
  <si>
    <t>19-Feb</t>
  </si>
  <si>
    <t>20-Feb</t>
  </si>
  <si>
    <t>21-Feb</t>
  </si>
  <si>
    <t>22-Feb</t>
  </si>
  <si>
    <t>23-Feb</t>
  </si>
  <si>
    <t>24-Feb</t>
  </si>
  <si>
    <t>25-Feb</t>
  </si>
  <si>
    <t>26-Feb</t>
  </si>
  <si>
    <t>27-Feb</t>
  </si>
  <si>
    <t>28-Feb</t>
  </si>
  <si>
    <t>29-Feb</t>
  </si>
  <si>
    <t>*Showing a daily trend with an area sparkline to spot patterns like busy days or seasonal trends.</t>
  </si>
  <si>
    <t>Daily Trends of No Of Patient</t>
  </si>
  <si>
    <t>Averaeg Wait Time</t>
  </si>
  <si>
    <t>*Showing a daily trend with an sparkline to spot patterns like busy or seasonal trends.</t>
  </si>
  <si>
    <t>*Use  an area chart to show trends, spot drops in satisfaction, and link them to busy times or challenges.</t>
  </si>
  <si>
    <t>Satisfaction Score daily trend</t>
  </si>
  <si>
    <t>Admitted</t>
  </si>
  <si>
    <t>Not Admitted</t>
  </si>
  <si>
    <t>Count of Patient Admission Flag</t>
  </si>
  <si>
    <t>Count of Patient Admission Flag2</t>
  </si>
  <si>
    <t>Admission Status</t>
  </si>
  <si>
    <t>% Status</t>
  </si>
  <si>
    <t xml:space="preserve">  Patient</t>
  </si>
  <si>
    <t>Count of Age Group</t>
  </si>
  <si>
    <t>0-09</t>
  </si>
  <si>
    <t>10-09</t>
  </si>
  <si>
    <t>20-29</t>
  </si>
  <si>
    <t>30-39</t>
  </si>
  <si>
    <t>40-49</t>
  </si>
  <si>
    <t>50-59</t>
  </si>
  <si>
    <t>60-69</t>
  </si>
  <si>
    <t>70-79</t>
  </si>
  <si>
    <t>Age group wise analysis</t>
  </si>
  <si>
    <t>Delay</t>
  </si>
  <si>
    <t>Ontime</t>
  </si>
  <si>
    <t>Count of Patient Attend Status</t>
  </si>
  <si>
    <t>Patient attend status</t>
  </si>
  <si>
    <t>No. of patient by gender</t>
  </si>
  <si>
    <t>Female</t>
  </si>
  <si>
    <t>Male</t>
  </si>
  <si>
    <t>Count of Patient Gender</t>
  </si>
  <si>
    <t>Cardiology</t>
  </si>
  <si>
    <t>Gastroenterology</t>
  </si>
  <si>
    <t>General Practice</t>
  </si>
  <si>
    <t>Neurology</t>
  </si>
  <si>
    <t>None</t>
  </si>
  <si>
    <t>Orthopedics</t>
  </si>
  <si>
    <t>Physiotherapy</t>
  </si>
  <si>
    <t>Renal</t>
  </si>
  <si>
    <t>Count of Department Referral</t>
  </si>
  <si>
    <t>No. of patient by department referral</t>
  </si>
  <si>
    <t>2024</t>
  </si>
  <si>
    <t>Year wise slicer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</si>
</sst>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8"/>
        <bgColor indexed="64"/>
      </patternFill>
    </fill>
    <fill>
      <patternFill patternType="solid">
        <fgColor theme="0" tint="-0.34998626667073579"/>
        <bgColor indexed="64"/>
      </patternFill>
    </fill>
    <fill>
      <patternFill patternType="solid">
        <fgColor theme="4"/>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3">
    <xf numFmtId="0" fontId="0" fillId="0" borderId="0" xfId="0"/>
    <xf numFmtId="0" fontId="0" fillId="0" borderId="0" xfId="0" pivotButton="1"/>
    <xf numFmtId="0" fontId="0" fillId="0" borderId="0" xfId="0" applyAlignment="1">
      <alignment horizontal="left"/>
    </xf>
    <xf numFmtId="10" fontId="0" fillId="0" borderId="0" xfId="0" applyNumberFormat="1"/>
    <xf numFmtId="2" fontId="0" fillId="0" borderId="0" xfId="0" applyNumberFormat="1"/>
    <xf numFmtId="0" fontId="0" fillId="2" borderId="0" xfId="0" applyFill="1"/>
    <xf numFmtId="0" fontId="0" fillId="3" borderId="0" xfId="0" applyFill="1"/>
    <xf numFmtId="0" fontId="0" fillId="0" borderId="0" xfId="0" applyAlignment="1">
      <alignment horizontal="center"/>
    </xf>
    <xf numFmtId="0" fontId="0" fillId="5" borderId="0" xfId="0" applyFill="1"/>
    <xf numFmtId="1" fontId="0" fillId="0" borderId="0" xfId="0" applyNumberFormat="1"/>
    <xf numFmtId="9" fontId="0" fillId="0" borderId="0" xfId="1" applyFont="1" applyAlignment="1">
      <alignment horizontal="center"/>
    </xf>
    <xf numFmtId="0" fontId="3" fillId="6" borderId="0" xfId="0" applyFont="1" applyFill="1" applyAlignment="1">
      <alignment horizontal="center"/>
    </xf>
    <xf numFmtId="0" fontId="4" fillId="6" borderId="0" xfId="0" applyFont="1" applyFill="1"/>
    <xf numFmtId="0" fontId="2" fillId="4" borderId="0" xfId="0" applyFont="1" applyFill="1" applyAlignment="1">
      <alignment horizontal="center"/>
    </xf>
    <xf numFmtId="0" fontId="0" fillId="4" borderId="0" xfId="0" applyFill="1" applyAlignment="1">
      <alignment horizontal="center"/>
    </xf>
    <xf numFmtId="0" fontId="0" fillId="7" borderId="0" xfId="0" applyFill="1" applyAlignment="1">
      <alignment horizontal="center"/>
    </xf>
    <xf numFmtId="0" fontId="2" fillId="5" borderId="0" xfId="0" applyFont="1" applyFill="1" applyAlignment="1">
      <alignment horizontal="center"/>
    </xf>
    <xf numFmtId="0" fontId="0" fillId="5" borderId="0" xfId="0" applyFill="1" applyAlignment="1">
      <alignment horizontal="center"/>
    </xf>
    <xf numFmtId="0" fontId="2" fillId="3" borderId="0" xfId="0" applyFont="1" applyFill="1" applyAlignment="1">
      <alignment horizontal="center"/>
    </xf>
    <xf numFmtId="0" fontId="0" fillId="3" borderId="0" xfId="0" applyFill="1" applyAlignment="1">
      <alignment horizontal="center"/>
    </xf>
    <xf numFmtId="0" fontId="0" fillId="0" borderId="0" xfId="0" applyNumberFormat="1"/>
    <xf numFmtId="0" fontId="2" fillId="7" borderId="0" xfId="0" applyFont="1" applyFill="1" applyAlignment="1">
      <alignment horizontal="center"/>
    </xf>
    <xf numFmtId="0" fontId="2" fillId="7" borderId="0" xfId="0" applyFont="1" applyFill="1"/>
  </cellXfs>
  <cellStyles count="2">
    <cellStyle name="Normal" xfId="0" builtinId="0"/>
    <cellStyle name="Percent" xfId="1" builtinId="5"/>
  </cellStyles>
  <dxfs count="24">
    <dxf>
      <numFmt numFmtId="1" formatCode="0"/>
    </dxf>
    <dxf>
      <numFmt numFmtId="14" formatCode="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1" formatCode="0"/>
    </dxf>
    <dxf>
      <numFmt numFmtId="2" formatCode="0.00"/>
    </dxf>
    <dxf>
      <numFmt numFmtId="2" formatCode="0.00"/>
    </dxf>
    <dxf>
      <font>
        <b/>
        <color theme="1"/>
      </font>
      <border>
        <bottom style="thin">
          <color theme="5"/>
        </bottom>
        <vertical/>
        <horizontal/>
      </border>
    </dxf>
    <dxf>
      <font>
        <sz val="7"/>
        <color theme="1"/>
      </font>
      <fill>
        <patternFill>
          <bgColor theme="0" tint="-0.499984740745262"/>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40E56576-1610-4042-B67D-321B7A7033B0}">
      <tableStyleElement type="wholeTable" dxfId="23"/>
      <tableStyleElement type="headerRow" dxfId="22"/>
    </tableStyle>
  </tableStyles>
  <colors>
    <mruColors>
      <color rgb="FF36D2C7"/>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[cmpltproject.xlsx]Pivot_report!PivotTable8</c:name>
    <c:fmtId val="0"/>
  </c:pivotSource>
  <c:chart>
    <c:autoTitleDeleted val="0"/>
    <c:pivotFmts>
      <c:pivotFmt>
        <c:idx val="0"/>
        <c:spPr>
          <a:solidFill>
            <a:srgbClr val="002060"/>
          </a:solidFill>
          <a:ln>
            <a:solidFill>
              <a:schemeClr val="accent1">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BED3976A-FA35-4918-8FF8-F419499A8A9A}"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fld id="{9AF188A6-1DFD-4372-A986-54F619381E8A}" type="CELLRANGE">
                  <a:rPr lang="en-US"/>
                  <a:pPr>
                    <a:defRPr sz="800" b="1"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dLblPos val="outEnd"/>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1.8226926552213765E-2"/>
          <c:y val="0.13931818181818181"/>
          <c:w val="0.78431662605160357"/>
          <c:h val="0.75308109951959978"/>
        </c:manualLayout>
      </c:layout>
      <c:barChart>
        <c:barDir val="bar"/>
        <c:grouping val="clustered"/>
        <c:varyColors val="0"/>
        <c:ser>
          <c:idx val="0"/>
          <c:order val="0"/>
          <c:tx>
            <c:strRef>
              <c:f>Pivot_report!$C$35:$C$36</c:f>
              <c:strCache>
                <c:ptCount val="1"/>
                <c:pt idx="0">
                  <c:v>Count of Patient Admission Flag</c:v>
                </c:pt>
              </c:strCache>
            </c:strRef>
          </c:tx>
          <c:spPr>
            <a:solidFill>
              <a:srgbClr val="002060"/>
            </a:solidFill>
            <a:ln>
              <a:solidFill>
                <a:schemeClr val="accent1">
                  <a:lumMod val="50000"/>
                </a:schemeClr>
              </a:solidFill>
            </a:ln>
            <a:effectLst/>
          </c:spPr>
          <c:invertIfNegative val="0"/>
          <c:dLbls>
            <c:dLbl>
              <c:idx val="0"/>
              <c:tx>
                <c:rich>
                  <a:bodyPr/>
                  <a:lstStyle/>
                  <a:p>
                    <a:fld id="{BED3976A-FA35-4918-8FF8-F419499A8A9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79C3-49EB-8284-58F4B669E052}"/>
                </c:ext>
              </c:extLst>
            </c:dLbl>
            <c:dLbl>
              <c:idx val="1"/>
              <c:tx>
                <c:rich>
                  <a:bodyPr/>
                  <a:lstStyle/>
                  <a:p>
                    <a:fld id="{9AF188A6-1DFD-4372-A986-54F619381E8A}" type="CELLRANGE">
                      <a:rPr lang="en-US"/>
                      <a:pPr/>
                      <a:t>[CELLRANGE]</a:t>
                    </a:fld>
                    <a:endParaRPr lang="en-US"/>
                  </a:p>
                </c:rich>
              </c:tx>
              <c:dLblPos val="outEnd"/>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79C3-49EB-8284-58F4B669E052}"/>
                </c:ext>
              </c:extLst>
            </c:dLbl>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Pivot_report!$C$35:$C$36</c:f>
              <c:strCache>
                <c:ptCount val="2"/>
                <c:pt idx="0">
                  <c:v>Admitted</c:v>
                </c:pt>
                <c:pt idx="1">
                  <c:v>Not Admitted</c:v>
                </c:pt>
              </c:strCache>
            </c:strRef>
          </c:cat>
          <c:val>
            <c:numRef>
              <c:f>Pivot_report!$C$35:$C$36</c:f>
              <c:numCache>
                <c:formatCode>0</c:formatCode>
                <c:ptCount val="2"/>
                <c:pt idx="0">
                  <c:v>224</c:v>
                </c:pt>
                <c:pt idx="1">
                  <c:v>210</c:v>
                </c:pt>
              </c:numCache>
            </c:numRef>
          </c:val>
          <c:extLst>
            <c:ext xmlns:c15="http://schemas.microsoft.com/office/drawing/2012/chart" uri="{02D57815-91ED-43cb-92C2-25804820EDAC}">
              <c15:datalabelsRange>
                <c15:f>Pivot_report!$C$35:$C$36</c15:f>
                <c15:dlblRangeCache>
                  <c:ptCount val="2"/>
                  <c:pt idx="0">
                    <c:v>51.61%</c:v>
                  </c:pt>
                  <c:pt idx="1">
                    <c:v>48.39%</c:v>
                  </c:pt>
                </c15:dlblRangeCache>
              </c15:datalabelsRange>
            </c:ext>
            <c:ext xmlns:c16="http://schemas.microsoft.com/office/drawing/2014/chart" uri="{C3380CC4-5D6E-409C-BE32-E72D297353CC}">
              <c16:uniqueId val="{00000000-79C3-49EB-8284-58F4B669E052}"/>
            </c:ext>
          </c:extLst>
        </c:ser>
        <c:ser>
          <c:idx val="1"/>
          <c:order val="1"/>
          <c:tx>
            <c:strRef>
              <c:f>Pivot_report!$C$35:$C$36</c:f>
              <c:strCache>
                <c:ptCount val="1"/>
                <c:pt idx="0">
                  <c:v>Count of Patient Admission Flag2</c:v>
                </c:pt>
              </c:strCache>
            </c:strRef>
          </c:tx>
          <c:spPr>
            <a:solidFill>
              <a:schemeClr val="accent2"/>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Pivot_report!$C$35:$C$36</c:f>
              <c:strCache>
                <c:ptCount val="2"/>
                <c:pt idx="0">
                  <c:v>Admitted</c:v>
                </c:pt>
                <c:pt idx="1">
                  <c:v>Not Admitted</c:v>
                </c:pt>
              </c:strCache>
            </c:strRef>
          </c:cat>
          <c:val>
            <c:numRef>
              <c:f>Pivot_report!$C$35:$C$36</c:f>
              <c:numCache>
                <c:formatCode>0.00%</c:formatCode>
                <c:ptCount val="2"/>
                <c:pt idx="0">
                  <c:v>0.5161290322580645</c:v>
                </c:pt>
                <c:pt idx="1">
                  <c:v>0.4838709677419355</c:v>
                </c:pt>
              </c:numCache>
            </c:numRef>
          </c:val>
          <c:extLst>
            <c:ext xmlns:c16="http://schemas.microsoft.com/office/drawing/2014/chart" uri="{C3380CC4-5D6E-409C-BE32-E72D297353CC}">
              <c16:uniqueId val="{00000001-79C3-49EB-8284-58F4B669E052}"/>
            </c:ext>
          </c:extLst>
        </c:ser>
        <c:dLbls>
          <c:dLblPos val="outEnd"/>
          <c:showLegendKey val="0"/>
          <c:showVal val="1"/>
          <c:showCatName val="0"/>
          <c:showSerName val="0"/>
          <c:showPercent val="0"/>
          <c:showBubbleSize val="0"/>
        </c:dLbls>
        <c:gapWidth val="0"/>
        <c:overlap val="5"/>
        <c:axId val="261916303"/>
        <c:axId val="261916783"/>
      </c:barChart>
      <c:catAx>
        <c:axId val="261916303"/>
        <c:scaling>
          <c:orientation val="minMax"/>
        </c:scaling>
        <c:delete val="1"/>
        <c:axPos val="l"/>
        <c:numFmt formatCode="General" sourceLinked="1"/>
        <c:majorTickMark val="none"/>
        <c:minorTickMark val="none"/>
        <c:tickLblPos val="nextTo"/>
        <c:crossAx val="261916783"/>
        <c:crosses val="autoZero"/>
        <c:auto val="1"/>
        <c:lblAlgn val="ctr"/>
        <c:lblOffset val="100"/>
        <c:noMultiLvlLbl val="0"/>
      </c:catAx>
      <c:valAx>
        <c:axId val="261916783"/>
        <c:scaling>
          <c:orientation val="minMax"/>
        </c:scaling>
        <c:delete val="1"/>
        <c:axPos val="b"/>
        <c:numFmt formatCode="0" sourceLinked="1"/>
        <c:majorTickMark val="none"/>
        <c:minorTickMark val="none"/>
        <c:tickLblPos val="nextTo"/>
        <c:crossAx val="2619163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[cmpltproject.xlsx]Pivot_report!PivotTable5</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1.6906170752324597E-3"/>
              <c:y val="1.153846153846146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6564386552272685E-2"/>
          <c:y val="0.17032401923210927"/>
          <c:w val="0.89056353019352785"/>
          <c:h val="0.60072385199637657"/>
        </c:manualLayout>
      </c:layout>
      <c:areaChart>
        <c:grouping val="standard"/>
        <c:varyColors val="0"/>
        <c:ser>
          <c:idx val="0"/>
          <c:order val="0"/>
          <c:tx>
            <c:strRef>
              <c:f>Pivot_report!$J$4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Pivot_report!$I$5:$I$32</c:f>
              <c:strCache>
                <c:ptCount val="27"/>
                <c:pt idx="0">
                  <c:v>1-Feb</c:v>
                </c:pt>
                <c:pt idx="1">
                  <c:v>2-Feb</c:v>
                </c:pt>
                <c:pt idx="2">
                  <c:v>3-Feb</c:v>
                </c:pt>
                <c:pt idx="3">
                  <c:v>4-Feb</c:v>
                </c:pt>
                <c:pt idx="4">
                  <c:v>5-Feb</c:v>
                </c:pt>
                <c:pt idx="5">
                  <c:v>6-Feb</c:v>
                </c:pt>
                <c:pt idx="6">
                  <c:v>7-Feb</c:v>
                </c:pt>
                <c:pt idx="7">
                  <c:v>8-Feb</c:v>
                </c:pt>
                <c:pt idx="8">
                  <c:v>9-Feb</c:v>
                </c:pt>
                <c:pt idx="9">
                  <c:v>10-Feb</c:v>
                </c:pt>
                <c:pt idx="10">
                  <c:v>13-Feb</c:v>
                </c:pt>
                <c:pt idx="11">
                  <c:v>14-Feb</c:v>
                </c:pt>
                <c:pt idx="12">
                  <c:v>15-Feb</c:v>
                </c:pt>
                <c:pt idx="13">
                  <c:v>16-Feb</c:v>
                </c:pt>
                <c:pt idx="14">
                  <c:v>17-Feb</c:v>
                </c:pt>
                <c:pt idx="15">
                  <c:v>18-Feb</c:v>
                </c:pt>
                <c:pt idx="16">
                  <c:v>19-Feb</c:v>
                </c:pt>
                <c:pt idx="17">
                  <c:v>20-Feb</c:v>
                </c:pt>
                <c:pt idx="18">
                  <c:v>21-Feb</c:v>
                </c:pt>
                <c:pt idx="19">
                  <c:v>22-Feb</c:v>
                </c:pt>
                <c:pt idx="20">
                  <c:v>23-Feb</c:v>
                </c:pt>
                <c:pt idx="21">
                  <c:v>24-Feb</c:v>
                </c:pt>
                <c:pt idx="22">
                  <c:v>25-Feb</c:v>
                </c:pt>
                <c:pt idx="23">
                  <c:v>26-Feb</c:v>
                </c:pt>
                <c:pt idx="24">
                  <c:v>27-Feb</c:v>
                </c:pt>
                <c:pt idx="25">
                  <c:v>28-Feb</c:v>
                </c:pt>
                <c:pt idx="26">
                  <c:v>29-Feb</c:v>
                </c:pt>
              </c:strCache>
            </c:strRef>
          </c:cat>
          <c:val>
            <c:numRef>
              <c:f>Pivot_report!$J$5:$J$32</c:f>
              <c:numCache>
                <c:formatCode>0.00</c:formatCode>
                <c:ptCount val="27"/>
                <c:pt idx="0">
                  <c:v>38.214285714285715</c:v>
                </c:pt>
                <c:pt idx="1">
                  <c:v>45.4</c:v>
                </c:pt>
                <c:pt idx="2">
                  <c:v>33.708333333333336</c:v>
                </c:pt>
                <c:pt idx="3">
                  <c:v>39.368421052631582</c:v>
                </c:pt>
                <c:pt idx="4">
                  <c:v>27</c:v>
                </c:pt>
                <c:pt idx="5">
                  <c:v>38.4</c:v>
                </c:pt>
                <c:pt idx="6">
                  <c:v>30.842105263157894</c:v>
                </c:pt>
                <c:pt idx="7">
                  <c:v>31.842105263157894</c:v>
                </c:pt>
                <c:pt idx="8">
                  <c:v>36.941176470588232</c:v>
                </c:pt>
                <c:pt idx="9">
                  <c:v>38.545454545454547</c:v>
                </c:pt>
                <c:pt idx="10">
                  <c:v>38.777777777777779</c:v>
                </c:pt>
                <c:pt idx="11">
                  <c:v>31</c:v>
                </c:pt>
                <c:pt idx="12">
                  <c:v>35.928571428571431</c:v>
                </c:pt>
                <c:pt idx="13">
                  <c:v>37.882352941176471</c:v>
                </c:pt>
                <c:pt idx="14">
                  <c:v>40.588235294117645</c:v>
                </c:pt>
                <c:pt idx="15">
                  <c:v>34.533333333333331</c:v>
                </c:pt>
                <c:pt idx="16">
                  <c:v>40.333333333333336</c:v>
                </c:pt>
                <c:pt idx="17">
                  <c:v>35.285714285714285</c:v>
                </c:pt>
                <c:pt idx="18">
                  <c:v>35.5</c:v>
                </c:pt>
                <c:pt idx="19">
                  <c:v>38.5625</c:v>
                </c:pt>
                <c:pt idx="20">
                  <c:v>42.727272727272727</c:v>
                </c:pt>
                <c:pt idx="21">
                  <c:v>37.416666666666664</c:v>
                </c:pt>
                <c:pt idx="22">
                  <c:v>32.450000000000003</c:v>
                </c:pt>
                <c:pt idx="23">
                  <c:v>40.055555555555557</c:v>
                </c:pt>
                <c:pt idx="24">
                  <c:v>31.666666666666668</c:v>
                </c:pt>
                <c:pt idx="25">
                  <c:v>39.769230769230766</c:v>
                </c:pt>
                <c:pt idx="26">
                  <c:v>36.733333333333334</c:v>
                </c:pt>
              </c:numCache>
            </c:numRef>
          </c:val>
          <c:extLst>
            <c:ext xmlns:c16="http://schemas.microsoft.com/office/drawing/2014/chart" uri="{C3380CC4-5D6E-409C-BE32-E72D297353CC}">
              <c16:uniqueId val="{00000000-4E31-4794-A17F-BE10BA8A1AD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39872431"/>
        <c:axId val="339868591"/>
      </c:areaChart>
      <c:catAx>
        <c:axId val="3398724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800" b="0" i="0" u="none" strike="noStrike" kern="1200" baseline="0">
                <a:solidFill>
                  <a:schemeClr val="lt1"/>
                </a:solidFill>
                <a:latin typeface="+mn-lt"/>
                <a:ea typeface="+mn-ea"/>
                <a:cs typeface="+mn-cs"/>
              </a:defRPr>
            </a:pPr>
            <a:endParaRPr lang="en-US"/>
          </a:p>
        </c:txPr>
        <c:crossAx val="339868591"/>
        <c:crosses val="autoZero"/>
        <c:auto val="1"/>
        <c:lblAlgn val="ctr"/>
        <c:lblOffset val="100"/>
        <c:noMultiLvlLbl val="0"/>
      </c:catAx>
      <c:valAx>
        <c:axId val="339868591"/>
        <c:scaling>
          <c:orientation val="minMax"/>
        </c:scaling>
        <c:delete val="1"/>
        <c:axPos val="l"/>
        <c:numFmt formatCode="0.00" sourceLinked="1"/>
        <c:majorTickMark val="out"/>
        <c:minorTickMark val="none"/>
        <c:tickLblPos val="nextTo"/>
        <c:crossAx val="339872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855929569751515E-2"/>
          <c:y val="0.28256872568988639"/>
          <c:w val="0.98714444947328306"/>
          <c:h val="0.71743275613447577"/>
        </c:manualLayout>
      </c:layout>
      <c:areaChart>
        <c:grouping val="standard"/>
        <c:varyColors val="0"/>
        <c:ser>
          <c:idx val="0"/>
          <c:order val="0"/>
          <c:tx>
            <c:strRef>
              <c:f>Pivot_report!$E$4</c:f>
              <c:strCache>
                <c:ptCount val="1"/>
                <c:pt idx="0">
                  <c:v>Total</c:v>
                </c:pt>
              </c:strCache>
            </c:strRef>
          </c:tx>
          <c:spPr>
            <a:solidFill>
              <a:schemeClr val="accent1"/>
            </a:solidFill>
            <a:ln>
              <a:noFill/>
            </a:ln>
            <a:effectLst/>
          </c:spPr>
          <c:cat>
            <c:strRef>
              <c:f>Pivot_report!$D$5:$D$32</c:f>
              <c:strCache>
                <c:ptCount val="27"/>
                <c:pt idx="0">
                  <c:v>1-Feb</c:v>
                </c:pt>
                <c:pt idx="1">
                  <c:v>2-Feb</c:v>
                </c:pt>
                <c:pt idx="2">
                  <c:v>3-Feb</c:v>
                </c:pt>
                <c:pt idx="3">
                  <c:v>4-Feb</c:v>
                </c:pt>
                <c:pt idx="4">
                  <c:v>5-Feb</c:v>
                </c:pt>
                <c:pt idx="5">
                  <c:v>6-Feb</c:v>
                </c:pt>
                <c:pt idx="6">
                  <c:v>7-Feb</c:v>
                </c:pt>
                <c:pt idx="7">
                  <c:v>8-Feb</c:v>
                </c:pt>
                <c:pt idx="8">
                  <c:v>9-Feb</c:v>
                </c:pt>
                <c:pt idx="9">
                  <c:v>10-Feb</c:v>
                </c:pt>
                <c:pt idx="10">
                  <c:v>13-Feb</c:v>
                </c:pt>
                <c:pt idx="11">
                  <c:v>14-Feb</c:v>
                </c:pt>
                <c:pt idx="12">
                  <c:v>15-Feb</c:v>
                </c:pt>
                <c:pt idx="13">
                  <c:v>16-Feb</c:v>
                </c:pt>
                <c:pt idx="14">
                  <c:v>17-Feb</c:v>
                </c:pt>
                <c:pt idx="15">
                  <c:v>18-Feb</c:v>
                </c:pt>
                <c:pt idx="16">
                  <c:v>19-Feb</c:v>
                </c:pt>
                <c:pt idx="17">
                  <c:v>20-Feb</c:v>
                </c:pt>
                <c:pt idx="18">
                  <c:v>21-Feb</c:v>
                </c:pt>
                <c:pt idx="19">
                  <c:v>22-Feb</c:v>
                </c:pt>
                <c:pt idx="20">
                  <c:v>23-Feb</c:v>
                </c:pt>
                <c:pt idx="21">
                  <c:v>24-Feb</c:v>
                </c:pt>
                <c:pt idx="22">
                  <c:v>25-Feb</c:v>
                </c:pt>
                <c:pt idx="23">
                  <c:v>26-Feb</c:v>
                </c:pt>
                <c:pt idx="24">
                  <c:v>27-Feb</c:v>
                </c:pt>
                <c:pt idx="25">
                  <c:v>28-Feb</c:v>
                </c:pt>
                <c:pt idx="26">
                  <c:v>29-Feb</c:v>
                </c:pt>
              </c:strCache>
            </c:strRef>
          </c:cat>
          <c:val>
            <c:numRef>
              <c:f>Pivot_report!$E$5:$E$32</c:f>
              <c:numCache>
                <c:formatCode>General</c:formatCode>
                <c:ptCount val="27"/>
                <c:pt idx="0">
                  <c:v>14</c:v>
                </c:pt>
                <c:pt idx="1">
                  <c:v>10</c:v>
                </c:pt>
                <c:pt idx="2">
                  <c:v>24</c:v>
                </c:pt>
                <c:pt idx="3">
                  <c:v>19</c:v>
                </c:pt>
                <c:pt idx="4">
                  <c:v>21</c:v>
                </c:pt>
                <c:pt idx="5">
                  <c:v>10</c:v>
                </c:pt>
                <c:pt idx="6">
                  <c:v>19</c:v>
                </c:pt>
                <c:pt idx="7">
                  <c:v>19</c:v>
                </c:pt>
                <c:pt idx="8">
                  <c:v>17</c:v>
                </c:pt>
                <c:pt idx="9">
                  <c:v>11</c:v>
                </c:pt>
                <c:pt idx="10">
                  <c:v>9</c:v>
                </c:pt>
                <c:pt idx="11">
                  <c:v>19</c:v>
                </c:pt>
                <c:pt idx="12">
                  <c:v>14</c:v>
                </c:pt>
                <c:pt idx="13">
                  <c:v>17</c:v>
                </c:pt>
                <c:pt idx="14">
                  <c:v>17</c:v>
                </c:pt>
                <c:pt idx="15">
                  <c:v>15</c:v>
                </c:pt>
                <c:pt idx="16">
                  <c:v>9</c:v>
                </c:pt>
                <c:pt idx="17">
                  <c:v>14</c:v>
                </c:pt>
                <c:pt idx="18">
                  <c:v>22</c:v>
                </c:pt>
                <c:pt idx="19">
                  <c:v>16</c:v>
                </c:pt>
                <c:pt idx="20">
                  <c:v>22</c:v>
                </c:pt>
                <c:pt idx="21">
                  <c:v>12</c:v>
                </c:pt>
                <c:pt idx="22">
                  <c:v>20</c:v>
                </c:pt>
                <c:pt idx="23">
                  <c:v>18</c:v>
                </c:pt>
                <c:pt idx="24">
                  <c:v>18</c:v>
                </c:pt>
                <c:pt idx="25">
                  <c:v>13</c:v>
                </c:pt>
                <c:pt idx="26">
                  <c:v>15</c:v>
                </c:pt>
              </c:numCache>
            </c:numRef>
          </c:val>
          <c:extLst>
            <c:ext xmlns:c16="http://schemas.microsoft.com/office/drawing/2014/chart" uri="{C3380CC4-5D6E-409C-BE32-E72D297353CC}">
              <c16:uniqueId val="{00000000-D08B-4389-9CAD-7270817593A8}"/>
            </c:ext>
          </c:extLst>
        </c:ser>
        <c:dLbls>
          <c:showLegendKey val="0"/>
          <c:showVal val="0"/>
          <c:showCatName val="0"/>
          <c:showSerName val="0"/>
          <c:showPercent val="0"/>
          <c:showBubbleSize val="0"/>
        </c:dLbls>
        <c:axId val="262373967"/>
        <c:axId val="262374927"/>
      </c:areaChart>
      <c:catAx>
        <c:axId val="262373967"/>
        <c:scaling>
          <c:orientation val="minMax"/>
        </c:scaling>
        <c:delete val="1"/>
        <c:axPos val="b"/>
        <c:numFmt formatCode="General" sourceLinked="1"/>
        <c:majorTickMark val="out"/>
        <c:minorTickMark val="none"/>
        <c:tickLblPos val="nextTo"/>
        <c:crossAx val="262374927"/>
        <c:crosses val="autoZero"/>
        <c:auto val="1"/>
        <c:lblAlgn val="ctr"/>
        <c:lblOffset val="100"/>
        <c:noMultiLvlLbl val="0"/>
      </c:catAx>
      <c:valAx>
        <c:axId val="262374927"/>
        <c:scaling>
          <c:orientation val="minMax"/>
        </c:scaling>
        <c:delete val="1"/>
        <c:axPos val="l"/>
        <c:numFmt formatCode="General" sourceLinked="1"/>
        <c:majorTickMark val="none"/>
        <c:minorTickMark val="none"/>
        <c:tickLblPos val="nextTo"/>
        <c:crossAx val="262373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[cmpltproject.xlsx]Pivot_report!PivotTable5</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36765043757963112"/>
          <c:w val="1"/>
          <c:h val="0.42228348140162214"/>
        </c:manualLayout>
      </c:layout>
      <c:areaChart>
        <c:grouping val="standard"/>
        <c:varyColors val="0"/>
        <c:ser>
          <c:idx val="0"/>
          <c:order val="0"/>
          <c:tx>
            <c:strRef>
              <c:f>Pivot_report!$J$4</c:f>
              <c:strCache>
                <c:ptCount val="1"/>
                <c:pt idx="0">
                  <c:v>Total</c:v>
                </c:pt>
              </c:strCache>
            </c:strRef>
          </c:tx>
          <c:spPr>
            <a:solidFill>
              <a:schemeClr val="accent1"/>
            </a:solidFill>
            <a:ln>
              <a:noFill/>
            </a:ln>
            <a:effectLst/>
          </c:spPr>
          <c:cat>
            <c:strRef>
              <c:f>Pivot_report!$I$5:$I$32</c:f>
              <c:strCache>
                <c:ptCount val="27"/>
                <c:pt idx="0">
                  <c:v>1-Feb</c:v>
                </c:pt>
                <c:pt idx="1">
                  <c:v>2-Feb</c:v>
                </c:pt>
                <c:pt idx="2">
                  <c:v>3-Feb</c:v>
                </c:pt>
                <c:pt idx="3">
                  <c:v>4-Feb</c:v>
                </c:pt>
                <c:pt idx="4">
                  <c:v>5-Feb</c:v>
                </c:pt>
                <c:pt idx="5">
                  <c:v>6-Feb</c:v>
                </c:pt>
                <c:pt idx="6">
                  <c:v>7-Feb</c:v>
                </c:pt>
                <c:pt idx="7">
                  <c:v>8-Feb</c:v>
                </c:pt>
                <c:pt idx="8">
                  <c:v>9-Feb</c:v>
                </c:pt>
                <c:pt idx="9">
                  <c:v>10-Feb</c:v>
                </c:pt>
                <c:pt idx="10">
                  <c:v>13-Feb</c:v>
                </c:pt>
                <c:pt idx="11">
                  <c:v>14-Feb</c:v>
                </c:pt>
                <c:pt idx="12">
                  <c:v>15-Feb</c:v>
                </c:pt>
                <c:pt idx="13">
                  <c:v>16-Feb</c:v>
                </c:pt>
                <c:pt idx="14">
                  <c:v>17-Feb</c:v>
                </c:pt>
                <c:pt idx="15">
                  <c:v>18-Feb</c:v>
                </c:pt>
                <c:pt idx="16">
                  <c:v>19-Feb</c:v>
                </c:pt>
                <c:pt idx="17">
                  <c:v>20-Feb</c:v>
                </c:pt>
                <c:pt idx="18">
                  <c:v>21-Feb</c:v>
                </c:pt>
                <c:pt idx="19">
                  <c:v>22-Feb</c:v>
                </c:pt>
                <c:pt idx="20">
                  <c:v>23-Feb</c:v>
                </c:pt>
                <c:pt idx="21">
                  <c:v>24-Feb</c:v>
                </c:pt>
                <c:pt idx="22">
                  <c:v>25-Feb</c:v>
                </c:pt>
                <c:pt idx="23">
                  <c:v>26-Feb</c:v>
                </c:pt>
                <c:pt idx="24">
                  <c:v>27-Feb</c:v>
                </c:pt>
                <c:pt idx="25">
                  <c:v>28-Feb</c:v>
                </c:pt>
                <c:pt idx="26">
                  <c:v>29-Feb</c:v>
                </c:pt>
              </c:strCache>
            </c:strRef>
          </c:cat>
          <c:val>
            <c:numRef>
              <c:f>Pivot_report!$J$5:$J$32</c:f>
              <c:numCache>
                <c:formatCode>0.00</c:formatCode>
                <c:ptCount val="27"/>
                <c:pt idx="0">
                  <c:v>38.214285714285715</c:v>
                </c:pt>
                <c:pt idx="1">
                  <c:v>45.4</c:v>
                </c:pt>
                <c:pt idx="2">
                  <c:v>33.708333333333336</c:v>
                </c:pt>
                <c:pt idx="3">
                  <c:v>39.368421052631582</c:v>
                </c:pt>
                <c:pt idx="4">
                  <c:v>27</c:v>
                </c:pt>
                <c:pt idx="5">
                  <c:v>38.4</c:v>
                </c:pt>
                <c:pt idx="6">
                  <c:v>30.842105263157894</c:v>
                </c:pt>
                <c:pt idx="7">
                  <c:v>31.842105263157894</c:v>
                </c:pt>
                <c:pt idx="8">
                  <c:v>36.941176470588232</c:v>
                </c:pt>
                <c:pt idx="9">
                  <c:v>38.545454545454547</c:v>
                </c:pt>
                <c:pt idx="10">
                  <c:v>38.777777777777779</c:v>
                </c:pt>
                <c:pt idx="11">
                  <c:v>31</c:v>
                </c:pt>
                <c:pt idx="12">
                  <c:v>35.928571428571431</c:v>
                </c:pt>
                <c:pt idx="13">
                  <c:v>37.882352941176471</c:v>
                </c:pt>
                <c:pt idx="14">
                  <c:v>40.588235294117645</c:v>
                </c:pt>
                <c:pt idx="15">
                  <c:v>34.533333333333331</c:v>
                </c:pt>
                <c:pt idx="16">
                  <c:v>40.333333333333336</c:v>
                </c:pt>
                <c:pt idx="17">
                  <c:v>35.285714285714285</c:v>
                </c:pt>
                <c:pt idx="18">
                  <c:v>35.5</c:v>
                </c:pt>
                <c:pt idx="19">
                  <c:v>38.5625</c:v>
                </c:pt>
                <c:pt idx="20">
                  <c:v>42.727272727272727</c:v>
                </c:pt>
                <c:pt idx="21">
                  <c:v>37.416666666666664</c:v>
                </c:pt>
                <c:pt idx="22">
                  <c:v>32.450000000000003</c:v>
                </c:pt>
                <c:pt idx="23">
                  <c:v>40.055555555555557</c:v>
                </c:pt>
                <c:pt idx="24">
                  <c:v>31.666666666666668</c:v>
                </c:pt>
                <c:pt idx="25">
                  <c:v>39.769230769230766</c:v>
                </c:pt>
                <c:pt idx="26">
                  <c:v>36.733333333333334</c:v>
                </c:pt>
              </c:numCache>
            </c:numRef>
          </c:val>
          <c:extLst>
            <c:ext xmlns:c16="http://schemas.microsoft.com/office/drawing/2014/chart" uri="{C3380CC4-5D6E-409C-BE32-E72D297353CC}">
              <c16:uniqueId val="{00000000-9257-434A-9127-F4C951F01A4B}"/>
            </c:ext>
          </c:extLst>
        </c:ser>
        <c:dLbls>
          <c:showLegendKey val="0"/>
          <c:showVal val="0"/>
          <c:showCatName val="0"/>
          <c:showSerName val="0"/>
          <c:showPercent val="0"/>
          <c:showBubbleSize val="0"/>
        </c:dLbls>
        <c:axId val="339872431"/>
        <c:axId val="339868591"/>
      </c:areaChart>
      <c:catAx>
        <c:axId val="339872431"/>
        <c:scaling>
          <c:orientation val="minMax"/>
        </c:scaling>
        <c:delete val="1"/>
        <c:axPos val="b"/>
        <c:numFmt formatCode="General" sourceLinked="1"/>
        <c:majorTickMark val="out"/>
        <c:minorTickMark val="none"/>
        <c:tickLblPos val="nextTo"/>
        <c:crossAx val="339868591"/>
        <c:crosses val="autoZero"/>
        <c:auto val="1"/>
        <c:lblAlgn val="ctr"/>
        <c:lblOffset val="100"/>
        <c:noMultiLvlLbl val="0"/>
      </c:catAx>
      <c:valAx>
        <c:axId val="339868591"/>
        <c:scaling>
          <c:orientation val="minMax"/>
        </c:scaling>
        <c:delete val="1"/>
        <c:axPos val="l"/>
        <c:numFmt formatCode="0.00" sourceLinked="1"/>
        <c:majorTickMark val="none"/>
        <c:minorTickMark val="none"/>
        <c:tickLblPos val="nextTo"/>
        <c:crossAx val="3398724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[cmpltproject.xlsx]Pivot_report!PivotTable7</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254006324513208E-2"/>
          <c:y val="0.103139277096628"/>
          <c:w val="0.90491367445361581"/>
          <c:h val="0.77777689404634553"/>
        </c:manualLayout>
      </c:layout>
      <c:areaChart>
        <c:grouping val="standard"/>
        <c:varyColors val="0"/>
        <c:ser>
          <c:idx val="0"/>
          <c:order val="0"/>
          <c:tx>
            <c:strRef>
              <c:f>Pivot_report!$N$4</c:f>
              <c:strCache>
                <c:ptCount val="1"/>
                <c:pt idx="0">
                  <c:v>Total</c:v>
                </c:pt>
              </c:strCache>
            </c:strRef>
          </c:tx>
          <c:spPr>
            <a:solidFill>
              <a:schemeClr val="accent1"/>
            </a:solidFill>
            <a:ln>
              <a:noFill/>
            </a:ln>
            <a:effectLst/>
          </c:spPr>
          <c:cat>
            <c:strRef>
              <c:f>Pivot_report!$M$5:$M$31</c:f>
              <c:strCache>
                <c:ptCount val="26"/>
                <c:pt idx="0">
                  <c:v>1-Feb</c:v>
                </c:pt>
                <c:pt idx="1">
                  <c:v>2-Feb</c:v>
                </c:pt>
                <c:pt idx="2">
                  <c:v>3-Feb</c:v>
                </c:pt>
                <c:pt idx="3">
                  <c:v>4-Feb</c:v>
                </c:pt>
                <c:pt idx="4">
                  <c:v>5-Feb</c:v>
                </c:pt>
                <c:pt idx="5">
                  <c:v>6-Feb</c:v>
                </c:pt>
                <c:pt idx="6">
                  <c:v>7-Feb</c:v>
                </c:pt>
                <c:pt idx="7">
                  <c:v>8-Feb</c:v>
                </c:pt>
                <c:pt idx="8">
                  <c:v>9-Feb</c:v>
                </c:pt>
                <c:pt idx="9">
                  <c:v>10-Feb</c:v>
                </c:pt>
                <c:pt idx="10">
                  <c:v>13-Feb</c:v>
                </c:pt>
                <c:pt idx="11">
                  <c:v>14-Feb</c:v>
                </c:pt>
                <c:pt idx="12">
                  <c:v>15-Feb</c:v>
                </c:pt>
                <c:pt idx="13">
                  <c:v>16-Feb</c:v>
                </c:pt>
                <c:pt idx="14">
                  <c:v>17-Feb</c:v>
                </c:pt>
                <c:pt idx="15">
                  <c:v>18-Feb</c:v>
                </c:pt>
                <c:pt idx="16">
                  <c:v>19-Feb</c:v>
                </c:pt>
                <c:pt idx="17">
                  <c:v>20-Feb</c:v>
                </c:pt>
                <c:pt idx="18">
                  <c:v>21-Feb</c:v>
                </c:pt>
                <c:pt idx="19">
                  <c:v>22-Feb</c:v>
                </c:pt>
                <c:pt idx="20">
                  <c:v>23-Feb</c:v>
                </c:pt>
                <c:pt idx="21">
                  <c:v>24-Feb</c:v>
                </c:pt>
                <c:pt idx="22">
                  <c:v>25-Feb</c:v>
                </c:pt>
                <c:pt idx="23">
                  <c:v>27-Feb</c:v>
                </c:pt>
                <c:pt idx="24">
                  <c:v>28-Feb</c:v>
                </c:pt>
                <c:pt idx="25">
                  <c:v>29-Feb</c:v>
                </c:pt>
              </c:strCache>
            </c:strRef>
          </c:cat>
          <c:val>
            <c:numRef>
              <c:f>Pivot_report!$N$5:$N$31</c:f>
              <c:numCache>
                <c:formatCode>0.00</c:formatCode>
                <c:ptCount val="26"/>
                <c:pt idx="0">
                  <c:v>3.5</c:v>
                </c:pt>
                <c:pt idx="1">
                  <c:v>5.75</c:v>
                </c:pt>
                <c:pt idx="2">
                  <c:v>6</c:v>
                </c:pt>
                <c:pt idx="3">
                  <c:v>4.5999999999999996</c:v>
                </c:pt>
                <c:pt idx="4">
                  <c:v>5.6</c:v>
                </c:pt>
                <c:pt idx="5">
                  <c:v>5.2</c:v>
                </c:pt>
                <c:pt idx="6">
                  <c:v>5.333333333333333</c:v>
                </c:pt>
                <c:pt idx="7">
                  <c:v>4.666666666666667</c:v>
                </c:pt>
                <c:pt idx="8">
                  <c:v>2.6666666666666665</c:v>
                </c:pt>
                <c:pt idx="9">
                  <c:v>8</c:v>
                </c:pt>
                <c:pt idx="10">
                  <c:v>5.75</c:v>
                </c:pt>
                <c:pt idx="11">
                  <c:v>3.4444444444444446</c:v>
                </c:pt>
                <c:pt idx="12">
                  <c:v>1.5</c:v>
                </c:pt>
                <c:pt idx="13">
                  <c:v>3.6666666666666665</c:v>
                </c:pt>
                <c:pt idx="14">
                  <c:v>4.4285714285714288</c:v>
                </c:pt>
                <c:pt idx="15">
                  <c:v>6</c:v>
                </c:pt>
                <c:pt idx="16">
                  <c:v>2.6666666666666665</c:v>
                </c:pt>
                <c:pt idx="17">
                  <c:v>7.5</c:v>
                </c:pt>
                <c:pt idx="18">
                  <c:v>4.5</c:v>
                </c:pt>
                <c:pt idx="19">
                  <c:v>8</c:v>
                </c:pt>
                <c:pt idx="20">
                  <c:v>4.3636363636363633</c:v>
                </c:pt>
                <c:pt idx="21">
                  <c:v>0</c:v>
                </c:pt>
                <c:pt idx="22">
                  <c:v>10</c:v>
                </c:pt>
                <c:pt idx="23">
                  <c:v>6.75</c:v>
                </c:pt>
                <c:pt idx="24">
                  <c:v>7</c:v>
                </c:pt>
                <c:pt idx="25">
                  <c:v>3.3333333333333335</c:v>
                </c:pt>
              </c:numCache>
            </c:numRef>
          </c:val>
          <c:extLst>
            <c:ext xmlns:c16="http://schemas.microsoft.com/office/drawing/2014/chart" uri="{C3380CC4-5D6E-409C-BE32-E72D297353CC}">
              <c16:uniqueId val="{00000000-BCB5-4381-A430-3EDE079B9F99}"/>
            </c:ext>
          </c:extLst>
        </c:ser>
        <c:dLbls>
          <c:showLegendKey val="0"/>
          <c:showVal val="0"/>
          <c:showCatName val="0"/>
          <c:showSerName val="0"/>
          <c:showPercent val="0"/>
          <c:showBubbleSize val="0"/>
        </c:dLbls>
        <c:axId val="343741231"/>
        <c:axId val="343736911"/>
      </c:areaChart>
      <c:catAx>
        <c:axId val="343741231"/>
        <c:scaling>
          <c:orientation val="minMax"/>
        </c:scaling>
        <c:delete val="1"/>
        <c:axPos val="b"/>
        <c:numFmt formatCode="General" sourceLinked="1"/>
        <c:majorTickMark val="out"/>
        <c:minorTickMark val="none"/>
        <c:tickLblPos val="nextTo"/>
        <c:crossAx val="343736911"/>
        <c:crosses val="autoZero"/>
        <c:auto val="1"/>
        <c:lblAlgn val="ctr"/>
        <c:lblOffset val="100"/>
        <c:noMultiLvlLbl val="0"/>
      </c:catAx>
      <c:valAx>
        <c:axId val="343736911"/>
        <c:scaling>
          <c:orientation val="minMax"/>
        </c:scaling>
        <c:delete val="1"/>
        <c:axPos val="l"/>
        <c:numFmt formatCode="0.00" sourceLinked="1"/>
        <c:majorTickMark val="none"/>
        <c:minorTickMark val="none"/>
        <c:tickLblPos val="nextTo"/>
        <c:crossAx val="3437412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[cmpltproject.xlsx]Pivot_report!PivotTable9</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F0"/>
          </a:solidFill>
          <a:ln>
            <a:solidFill>
              <a:srgbClr val="00B0F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8695634391643268E-2"/>
          <c:y val="0.11666681977272936"/>
          <c:w val="0.91072467028198734"/>
          <c:h val="0.60101968637754122"/>
        </c:manualLayout>
      </c:layout>
      <c:barChart>
        <c:barDir val="col"/>
        <c:grouping val="clustered"/>
        <c:varyColors val="0"/>
        <c:ser>
          <c:idx val="0"/>
          <c:order val="0"/>
          <c:tx>
            <c:strRef>
              <c:f>Pivot_report!$J$48</c:f>
              <c:strCache>
                <c:ptCount val="1"/>
                <c:pt idx="0">
                  <c:v>Total</c:v>
                </c:pt>
              </c:strCache>
            </c:strRef>
          </c:tx>
          <c:spPr>
            <a:solidFill>
              <a:srgbClr val="00B0F0"/>
            </a:solid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Pivot_report!$I$49:$I$57</c:f>
              <c:strCache>
                <c:ptCount val="8"/>
                <c:pt idx="0">
                  <c:v>0-09</c:v>
                </c:pt>
                <c:pt idx="1">
                  <c:v>10-09</c:v>
                </c:pt>
                <c:pt idx="2">
                  <c:v>20-29</c:v>
                </c:pt>
                <c:pt idx="3">
                  <c:v>30-39</c:v>
                </c:pt>
                <c:pt idx="4">
                  <c:v>40-49</c:v>
                </c:pt>
                <c:pt idx="5">
                  <c:v>50-59</c:v>
                </c:pt>
                <c:pt idx="6">
                  <c:v>60-69</c:v>
                </c:pt>
                <c:pt idx="7">
                  <c:v>70-79</c:v>
                </c:pt>
              </c:strCache>
            </c:strRef>
          </c:cat>
          <c:val>
            <c:numRef>
              <c:f>Pivot_report!$J$49:$J$57</c:f>
              <c:numCache>
                <c:formatCode>0</c:formatCode>
                <c:ptCount val="8"/>
                <c:pt idx="0">
                  <c:v>42</c:v>
                </c:pt>
                <c:pt idx="1">
                  <c:v>60</c:v>
                </c:pt>
                <c:pt idx="2">
                  <c:v>60</c:v>
                </c:pt>
                <c:pt idx="3">
                  <c:v>57</c:v>
                </c:pt>
                <c:pt idx="4">
                  <c:v>59</c:v>
                </c:pt>
                <c:pt idx="5">
                  <c:v>53</c:v>
                </c:pt>
                <c:pt idx="6">
                  <c:v>55</c:v>
                </c:pt>
                <c:pt idx="7">
                  <c:v>48</c:v>
                </c:pt>
              </c:numCache>
            </c:numRef>
          </c:val>
          <c:extLst>
            <c:ext xmlns:c16="http://schemas.microsoft.com/office/drawing/2014/chart" uri="{C3380CC4-5D6E-409C-BE32-E72D297353CC}">
              <c16:uniqueId val="{00000000-B29C-4BCA-A278-BFA13CD7A5DD}"/>
            </c:ext>
          </c:extLst>
        </c:ser>
        <c:dLbls>
          <c:dLblPos val="outEnd"/>
          <c:showLegendKey val="0"/>
          <c:showVal val="1"/>
          <c:showCatName val="0"/>
          <c:showSerName val="0"/>
          <c:showPercent val="0"/>
          <c:showBubbleSize val="0"/>
        </c:dLbls>
        <c:gapWidth val="219"/>
        <c:overlap val="-27"/>
        <c:axId val="908383040"/>
        <c:axId val="908382560"/>
      </c:barChart>
      <c:catAx>
        <c:axId val="908383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8382560"/>
        <c:crosses val="autoZero"/>
        <c:auto val="1"/>
        <c:lblAlgn val="ctr"/>
        <c:lblOffset val="100"/>
        <c:noMultiLvlLbl val="0"/>
      </c:catAx>
      <c:valAx>
        <c:axId val="908382560"/>
        <c:scaling>
          <c:orientation val="minMax"/>
        </c:scaling>
        <c:delete val="1"/>
        <c:axPos val="l"/>
        <c:numFmt formatCode="0" sourceLinked="1"/>
        <c:majorTickMark val="none"/>
        <c:minorTickMark val="none"/>
        <c:tickLblPos val="nextTo"/>
        <c:crossAx val="908383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[cmpltproject.xlsx]Pivot_report!PivotTable10</c:name>
    <c:fmtId val="8"/>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marker>
          <c:symbol val="none"/>
        </c:marker>
        <c:dLbl>
          <c:idx val="0"/>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23012477293148087"/>
              <c:y val="-0.1716646938471548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chemeClr val="accent2"/>
          </a:solidFill>
          <a:ln>
            <a:noFill/>
          </a:ln>
          <a:effectLst>
            <a:outerShdw blurRad="254000" sx="102000" sy="102000" algn="ctr" rotWithShape="0">
              <a:prstClr val="black">
                <a:alpha val="20000"/>
              </a:prstClr>
            </a:outerShdw>
          </a:effectLst>
        </c:spPr>
        <c:dLbl>
          <c:idx val="0"/>
          <c:layout>
            <c:manualLayout>
              <c:x val="0.22093794026715474"/>
              <c:y val="0.13433235084308631"/>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185427423732805"/>
          <c:y val="0.17006063480367178"/>
          <c:w val="0.59594778923993408"/>
          <c:h val="0.8078401937805233"/>
        </c:manualLayout>
      </c:layout>
      <c:pieChart>
        <c:varyColors val="1"/>
        <c:ser>
          <c:idx val="0"/>
          <c:order val="0"/>
          <c:tx>
            <c:strRef>
              <c:f>Pivot_report!$M$36</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8DE6-41D0-9504-DFD482F2AD58}"/>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DE6-41D0-9504-DFD482F2AD58}"/>
              </c:ext>
            </c:extLst>
          </c:dPt>
          <c:dLbls>
            <c:dLbl>
              <c:idx val="0"/>
              <c:layout>
                <c:manualLayout>
                  <c:x val="-0.23012477293148087"/>
                  <c:y val="-0.17166469384715483"/>
                </c:manualLayout>
              </c:layout>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noAutofit/>
                </a:bodyPr>
                <a:lstStyle/>
                <a:p>
                  <a:pPr>
                    <a:defRPr sz="700" b="1" i="0" u="none" strike="noStrike" kern="1200" baseline="0">
                      <a:solidFill>
                        <a:schemeClr val="lt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8DE6-41D0-9504-DFD482F2AD58}"/>
                </c:ext>
              </c:extLst>
            </c:dLbl>
            <c:dLbl>
              <c:idx val="1"/>
              <c:layout>
                <c:manualLayout>
                  <c:x val="0.22093794026715474"/>
                  <c:y val="0.13433235084308631"/>
                </c:manualLayout>
              </c:layout>
              <c:dLblPos val="bestFi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8DE6-41D0-9504-DFD482F2AD58}"/>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Pivot_report!$L$37:$L$39</c:f>
              <c:strCache>
                <c:ptCount val="2"/>
                <c:pt idx="0">
                  <c:v>Delay</c:v>
                </c:pt>
                <c:pt idx="1">
                  <c:v>Ontime</c:v>
                </c:pt>
              </c:strCache>
            </c:strRef>
          </c:cat>
          <c:val>
            <c:numRef>
              <c:f>Pivot_report!$M$37:$M$39</c:f>
              <c:numCache>
                <c:formatCode>0</c:formatCode>
                <c:ptCount val="2"/>
                <c:pt idx="0">
                  <c:v>269</c:v>
                </c:pt>
                <c:pt idx="1">
                  <c:v>165</c:v>
                </c:pt>
              </c:numCache>
            </c:numRef>
          </c:val>
          <c:extLst>
            <c:ext xmlns:c16="http://schemas.microsoft.com/office/drawing/2014/chart" uri="{C3380CC4-5D6E-409C-BE32-E72D297353CC}">
              <c16:uniqueId val="{00000004-8DE6-41D0-9504-DFD482F2AD5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451120542029633"/>
          <c:y val="1.172649730486538E-2"/>
          <c:w val="0.67565904988676384"/>
          <c:h val="0.14427026582109795"/>
        </c:manualLayout>
      </c:layout>
      <c:overlay val="0"/>
      <c:spPr>
        <a:noFill/>
        <a:ln>
          <a:noFill/>
        </a:ln>
        <a:effectLst>
          <a:outerShdw blurRad="444500" dist="50800" dir="5400000" algn="ctr" rotWithShape="0">
            <a:srgbClr val="000000">
              <a:alpha val="0"/>
            </a:srgbClr>
          </a:outerShdw>
        </a:effectLst>
      </c:spPr>
      <c:txPr>
        <a:bodyPr rot="0" spcFirstLastPara="1" vertOverflow="ellipsis" vert="horz" wrap="square" anchor="ctr" anchorCtr="1"/>
        <a:lstStyle/>
        <a:p>
          <a:pPr>
            <a:defRPr sz="8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[cmpltproject.xlsx]Pivot_report!PivotTable11</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fld id="{1A2AA580-659F-4ABE-B539-14CE98150BCF}" type="PERCENTAGE">
                  <a:rPr lang="en-US">
                    <a:solidFill>
                      <a:schemeClr val="bg1"/>
                    </a:solidFill>
                  </a:rPr>
                  <a:pPr>
                    <a:defRPr sz="700" b="1">
                      <a:solidFill>
                        <a:schemeClr val="bg1"/>
                      </a:solidFill>
                    </a:defRPr>
                  </a:pPr>
                  <a:t>[PERCENTAGE]</a:t>
                </a:fld>
                <a:endParaRPr lang="en-US"/>
              </a:p>
            </c:rich>
          </c:tx>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016027422409222"/>
          <c:y val="0.15595950506186726"/>
          <c:w val="0.71782045833113284"/>
          <c:h val="0.77055838020247469"/>
        </c:manualLayout>
      </c:layout>
      <c:doughnutChart>
        <c:varyColors val="1"/>
        <c:ser>
          <c:idx val="0"/>
          <c:order val="0"/>
          <c:tx>
            <c:strRef>
              <c:f>Pivot_report!$P$35</c:f>
              <c:strCache>
                <c:ptCount val="1"/>
                <c:pt idx="0">
                  <c:v>Total</c:v>
                </c:pt>
              </c:strCache>
            </c:strRef>
          </c:tx>
          <c:spPr>
            <a:effectLst/>
          </c:spPr>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419-462F-983C-79877AE29EA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419-462F-983C-79877AE29EA7}"/>
              </c:ext>
            </c:extLst>
          </c:dPt>
          <c:dLbls>
            <c:dLbl>
              <c:idx val="0"/>
              <c:tx>
                <c:rich>
                  <a:bodyPr/>
                  <a:lstStyle/>
                  <a:p>
                    <a:fld id="{1A2AA580-659F-4ABE-B539-14CE98150BCF}" type="PERCENTAGE">
                      <a:rPr lang="en-US">
                        <a:solidFill>
                          <a:schemeClr val="bg1"/>
                        </a:solidFill>
                      </a:rPr>
                      <a:pPr/>
                      <a:t>[PERCENTAGE]</a:t>
                    </a:fld>
                    <a:endParaRPr lang="en-US"/>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E419-462F-983C-79877AE29EA7}"/>
                </c:ext>
              </c:extLst>
            </c:dLbl>
            <c:dLbl>
              <c:idx val="1"/>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E419-462F-983C-79877AE29EA7}"/>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Pivot_report!$O$36:$O$38</c:f>
              <c:strCache>
                <c:ptCount val="2"/>
                <c:pt idx="0">
                  <c:v>Female</c:v>
                </c:pt>
                <c:pt idx="1">
                  <c:v>Male</c:v>
                </c:pt>
              </c:strCache>
            </c:strRef>
          </c:cat>
          <c:val>
            <c:numRef>
              <c:f>Pivot_report!$P$36:$P$38</c:f>
              <c:numCache>
                <c:formatCode>0</c:formatCode>
                <c:ptCount val="2"/>
                <c:pt idx="0">
                  <c:v>204</c:v>
                </c:pt>
                <c:pt idx="1">
                  <c:v>230</c:v>
                </c:pt>
              </c:numCache>
            </c:numRef>
          </c:val>
          <c:extLst>
            <c:ext xmlns:c16="http://schemas.microsoft.com/office/drawing/2014/chart" uri="{C3380CC4-5D6E-409C-BE32-E72D297353CC}">
              <c16:uniqueId val="{00000004-E419-462F-983C-79877AE29EA7}"/>
            </c:ext>
          </c:extLst>
        </c:ser>
        <c:dLbls>
          <c:showLegendKey val="0"/>
          <c:showVal val="0"/>
          <c:showCatName val="0"/>
          <c:showSerName val="0"/>
          <c:showPercent val="0"/>
          <c:showBubbleSize val="0"/>
          <c:showLeaderLines val="1"/>
        </c:dLbls>
        <c:firstSliceAng val="0"/>
        <c:holeSize val="59"/>
      </c:doughnutChart>
      <c:spPr>
        <a:noFill/>
        <a:ln>
          <a:noFill/>
        </a:ln>
        <a:effectLst/>
      </c:spPr>
    </c:plotArea>
    <c:legend>
      <c:legendPos val="r"/>
      <c:layout>
        <c:manualLayout>
          <c:xMode val="edge"/>
          <c:yMode val="edge"/>
          <c:x val="0.19082516202207575"/>
          <c:y val="4.9991451068616424E-2"/>
          <c:w val="0.71041996222628523"/>
          <c:h val="0.11963153860056965"/>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[cmpltproject.xlsx]Pivot_report!PivotTable6</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994504548466724"/>
          <c:y val="4.1999993385827813E-2"/>
          <c:w val="0.60605473950148703"/>
          <c:h val="0.92300001212598237"/>
        </c:manualLayout>
      </c:layout>
      <c:barChart>
        <c:barDir val="bar"/>
        <c:grouping val="clustered"/>
        <c:varyColors val="0"/>
        <c:ser>
          <c:idx val="0"/>
          <c:order val="0"/>
          <c:tx>
            <c:strRef>
              <c:f>Pivot_report!$J$36</c:f>
              <c:strCache>
                <c:ptCount val="1"/>
                <c:pt idx="0">
                  <c:v>Total</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Pivot_report!$I$37:$I$45</c:f>
              <c:strCache>
                <c:ptCount val="8"/>
                <c:pt idx="0">
                  <c:v>Neurology</c:v>
                </c:pt>
                <c:pt idx="1">
                  <c:v>Cardiology</c:v>
                </c:pt>
                <c:pt idx="2">
                  <c:v>Renal</c:v>
                </c:pt>
                <c:pt idx="3">
                  <c:v>Gastroenterology</c:v>
                </c:pt>
                <c:pt idx="4">
                  <c:v>Physiotherapy</c:v>
                </c:pt>
                <c:pt idx="5">
                  <c:v>Orthopedics</c:v>
                </c:pt>
                <c:pt idx="6">
                  <c:v>General Practice</c:v>
                </c:pt>
                <c:pt idx="7">
                  <c:v>None</c:v>
                </c:pt>
              </c:strCache>
            </c:strRef>
          </c:cat>
          <c:val>
            <c:numRef>
              <c:f>Pivot_report!$J$37:$J$45</c:f>
              <c:numCache>
                <c:formatCode>0</c:formatCode>
                <c:ptCount val="8"/>
                <c:pt idx="0">
                  <c:v>7</c:v>
                </c:pt>
                <c:pt idx="1">
                  <c:v>7</c:v>
                </c:pt>
                <c:pt idx="2">
                  <c:v>8</c:v>
                </c:pt>
                <c:pt idx="3">
                  <c:v>11</c:v>
                </c:pt>
                <c:pt idx="4">
                  <c:v>19</c:v>
                </c:pt>
                <c:pt idx="5">
                  <c:v>34</c:v>
                </c:pt>
                <c:pt idx="6">
                  <c:v>83</c:v>
                </c:pt>
                <c:pt idx="7">
                  <c:v>265</c:v>
                </c:pt>
              </c:numCache>
            </c:numRef>
          </c:val>
          <c:extLst>
            <c:ext xmlns:c16="http://schemas.microsoft.com/office/drawing/2014/chart" uri="{C3380CC4-5D6E-409C-BE32-E72D297353CC}">
              <c16:uniqueId val="{00000000-4466-4682-8D5F-41EA88EBE202}"/>
            </c:ext>
          </c:extLst>
        </c:ser>
        <c:dLbls>
          <c:dLblPos val="outEnd"/>
          <c:showLegendKey val="0"/>
          <c:showVal val="1"/>
          <c:showCatName val="0"/>
          <c:showSerName val="0"/>
          <c:showPercent val="0"/>
          <c:showBubbleSize val="0"/>
        </c:dLbls>
        <c:gapWidth val="26"/>
        <c:axId val="1920090735"/>
        <c:axId val="1920091215"/>
      </c:barChart>
      <c:catAx>
        <c:axId val="1920090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1920091215"/>
        <c:crosses val="autoZero"/>
        <c:auto val="1"/>
        <c:lblAlgn val="ctr"/>
        <c:lblOffset val="100"/>
        <c:noMultiLvlLbl val="0"/>
      </c:catAx>
      <c:valAx>
        <c:axId val="1920091215"/>
        <c:scaling>
          <c:orientation val="minMax"/>
        </c:scaling>
        <c:delete val="1"/>
        <c:axPos val="b"/>
        <c:numFmt formatCode="0" sourceLinked="1"/>
        <c:majorTickMark val="none"/>
        <c:minorTickMark val="none"/>
        <c:tickLblPos val="nextTo"/>
        <c:crossAx val="1920090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[cmpltproject.xlsx]Pivot_report!PivotTable4</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8787117422288027E-2"/>
          <c:y val="0.13358681192248228"/>
          <c:w val="0.98714444947328306"/>
          <c:h val="0.71743275613447577"/>
        </c:manualLayout>
      </c:layout>
      <c:areaChart>
        <c:grouping val="standard"/>
        <c:varyColors val="0"/>
        <c:ser>
          <c:idx val="0"/>
          <c:order val="0"/>
          <c:tx>
            <c:strRef>
              <c:f>Pivot_report!$E$4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5"/>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5">
                          <a:lumMod val="60000"/>
                          <a:lumOff val="40000"/>
                        </a:schemeClr>
                      </a:solidFill>
                    </a:ln>
                    <a:effectLst/>
                  </c:spPr>
                </c15:leaderLines>
              </c:ext>
            </c:extLst>
          </c:dLbls>
          <c:cat>
            <c:strRef>
              <c:f>Pivot_report!$D$5:$D$32</c:f>
              <c:strCache>
                <c:ptCount val="27"/>
                <c:pt idx="0">
                  <c:v>1-Feb</c:v>
                </c:pt>
                <c:pt idx="1">
                  <c:v>2-Feb</c:v>
                </c:pt>
                <c:pt idx="2">
                  <c:v>3-Feb</c:v>
                </c:pt>
                <c:pt idx="3">
                  <c:v>4-Feb</c:v>
                </c:pt>
                <c:pt idx="4">
                  <c:v>5-Feb</c:v>
                </c:pt>
                <c:pt idx="5">
                  <c:v>6-Feb</c:v>
                </c:pt>
                <c:pt idx="6">
                  <c:v>7-Feb</c:v>
                </c:pt>
                <c:pt idx="7">
                  <c:v>8-Feb</c:v>
                </c:pt>
                <c:pt idx="8">
                  <c:v>9-Feb</c:v>
                </c:pt>
                <c:pt idx="9">
                  <c:v>10-Feb</c:v>
                </c:pt>
                <c:pt idx="10">
                  <c:v>13-Feb</c:v>
                </c:pt>
                <c:pt idx="11">
                  <c:v>14-Feb</c:v>
                </c:pt>
                <c:pt idx="12">
                  <c:v>15-Feb</c:v>
                </c:pt>
                <c:pt idx="13">
                  <c:v>16-Feb</c:v>
                </c:pt>
                <c:pt idx="14">
                  <c:v>17-Feb</c:v>
                </c:pt>
                <c:pt idx="15">
                  <c:v>18-Feb</c:v>
                </c:pt>
                <c:pt idx="16">
                  <c:v>19-Feb</c:v>
                </c:pt>
                <c:pt idx="17">
                  <c:v>20-Feb</c:v>
                </c:pt>
                <c:pt idx="18">
                  <c:v>21-Feb</c:v>
                </c:pt>
                <c:pt idx="19">
                  <c:v>22-Feb</c:v>
                </c:pt>
                <c:pt idx="20">
                  <c:v>23-Feb</c:v>
                </c:pt>
                <c:pt idx="21">
                  <c:v>24-Feb</c:v>
                </c:pt>
                <c:pt idx="22">
                  <c:v>25-Feb</c:v>
                </c:pt>
                <c:pt idx="23">
                  <c:v>26-Feb</c:v>
                </c:pt>
                <c:pt idx="24">
                  <c:v>27-Feb</c:v>
                </c:pt>
                <c:pt idx="25">
                  <c:v>28-Feb</c:v>
                </c:pt>
                <c:pt idx="26">
                  <c:v>29-Feb</c:v>
                </c:pt>
              </c:strCache>
            </c:strRef>
          </c:cat>
          <c:val>
            <c:numRef>
              <c:f>Pivot_report!$E$5:$E$32</c:f>
              <c:numCache>
                <c:formatCode>General</c:formatCode>
                <c:ptCount val="27"/>
                <c:pt idx="0">
                  <c:v>14</c:v>
                </c:pt>
                <c:pt idx="1">
                  <c:v>10</c:v>
                </c:pt>
                <c:pt idx="2">
                  <c:v>24</c:v>
                </c:pt>
                <c:pt idx="3">
                  <c:v>19</c:v>
                </c:pt>
                <c:pt idx="4">
                  <c:v>21</c:v>
                </c:pt>
                <c:pt idx="5">
                  <c:v>10</c:v>
                </c:pt>
                <c:pt idx="6">
                  <c:v>19</c:v>
                </c:pt>
                <c:pt idx="7">
                  <c:v>19</c:v>
                </c:pt>
                <c:pt idx="8">
                  <c:v>17</c:v>
                </c:pt>
                <c:pt idx="9">
                  <c:v>11</c:v>
                </c:pt>
                <c:pt idx="10">
                  <c:v>9</c:v>
                </c:pt>
                <c:pt idx="11">
                  <c:v>19</c:v>
                </c:pt>
                <c:pt idx="12">
                  <c:v>14</c:v>
                </c:pt>
                <c:pt idx="13">
                  <c:v>17</c:v>
                </c:pt>
                <c:pt idx="14">
                  <c:v>17</c:v>
                </c:pt>
                <c:pt idx="15">
                  <c:v>15</c:v>
                </c:pt>
                <c:pt idx="16">
                  <c:v>9</c:v>
                </c:pt>
                <c:pt idx="17">
                  <c:v>14</c:v>
                </c:pt>
                <c:pt idx="18">
                  <c:v>22</c:v>
                </c:pt>
                <c:pt idx="19">
                  <c:v>16</c:v>
                </c:pt>
                <c:pt idx="20">
                  <c:v>22</c:v>
                </c:pt>
                <c:pt idx="21">
                  <c:v>12</c:v>
                </c:pt>
                <c:pt idx="22">
                  <c:v>20</c:v>
                </c:pt>
                <c:pt idx="23">
                  <c:v>18</c:v>
                </c:pt>
                <c:pt idx="24">
                  <c:v>18</c:v>
                </c:pt>
                <c:pt idx="25">
                  <c:v>13</c:v>
                </c:pt>
                <c:pt idx="26">
                  <c:v>15</c:v>
                </c:pt>
              </c:numCache>
            </c:numRef>
          </c:val>
          <c:extLst>
            <c:ext xmlns:c16="http://schemas.microsoft.com/office/drawing/2014/chart" uri="{C3380CC4-5D6E-409C-BE32-E72D297353CC}">
              <c16:uniqueId val="{00000000-5FB1-42A1-8307-D53764821D28}"/>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62373967"/>
        <c:axId val="262374927"/>
      </c:areaChart>
      <c:catAx>
        <c:axId val="262373967"/>
        <c:scaling>
          <c:orientation val="minMax"/>
        </c:scaling>
        <c:delete val="0"/>
        <c:axPos val="b"/>
        <c:numFmt formatCode="General" sourceLinked="1"/>
        <c:majorTickMark val="none"/>
        <c:minorTickMark val="none"/>
        <c:tickLblPos val="nextTo"/>
        <c:spPr>
          <a:noFill/>
          <a:ln w="9525" cap="flat" cmpd="sng" algn="ctr">
            <a:solidFill>
              <a:schemeClr val="accent5">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62374927"/>
        <c:crosses val="autoZero"/>
        <c:auto val="1"/>
        <c:lblAlgn val="ctr"/>
        <c:lblOffset val="100"/>
        <c:noMultiLvlLbl val="0"/>
      </c:catAx>
      <c:valAx>
        <c:axId val="262374927"/>
        <c:scaling>
          <c:orientation val="minMax"/>
        </c:scaling>
        <c:delete val="1"/>
        <c:axPos val="l"/>
        <c:numFmt formatCode="General" sourceLinked="1"/>
        <c:majorTickMark val="out"/>
        <c:minorTickMark val="none"/>
        <c:tickLblPos val="nextTo"/>
        <c:crossAx val="26237396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5"/>
    </a:solidFill>
    <a:ln w="9525" cap="flat" cmpd="sng" algn="ctr">
      <a:solidFill>
        <a:schemeClr val="accent5"/>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[cmpltproject.xlsx]Pivot_report!PivotTable7</c:name>
    <c:fmtId val="2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913643892821061E-2"/>
          <c:y val="2.89263068980294E-2"/>
          <c:w val="0.9240085379309988"/>
          <c:h val="0.79029240949628854"/>
        </c:manualLayout>
      </c:layout>
      <c:areaChart>
        <c:grouping val="standard"/>
        <c:varyColors val="0"/>
        <c:ser>
          <c:idx val="0"/>
          <c:order val="0"/>
          <c:tx>
            <c:strRef>
              <c:f>Pivot_report!$N$4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Pivot_report!$M$5:$M$31</c:f>
              <c:strCache>
                <c:ptCount val="26"/>
                <c:pt idx="0">
                  <c:v>1-Feb</c:v>
                </c:pt>
                <c:pt idx="1">
                  <c:v>2-Feb</c:v>
                </c:pt>
                <c:pt idx="2">
                  <c:v>3-Feb</c:v>
                </c:pt>
                <c:pt idx="3">
                  <c:v>4-Feb</c:v>
                </c:pt>
                <c:pt idx="4">
                  <c:v>5-Feb</c:v>
                </c:pt>
                <c:pt idx="5">
                  <c:v>6-Feb</c:v>
                </c:pt>
                <c:pt idx="6">
                  <c:v>7-Feb</c:v>
                </c:pt>
                <c:pt idx="7">
                  <c:v>8-Feb</c:v>
                </c:pt>
                <c:pt idx="8">
                  <c:v>9-Feb</c:v>
                </c:pt>
                <c:pt idx="9">
                  <c:v>10-Feb</c:v>
                </c:pt>
                <c:pt idx="10">
                  <c:v>13-Feb</c:v>
                </c:pt>
                <c:pt idx="11">
                  <c:v>14-Feb</c:v>
                </c:pt>
                <c:pt idx="12">
                  <c:v>15-Feb</c:v>
                </c:pt>
                <c:pt idx="13">
                  <c:v>16-Feb</c:v>
                </c:pt>
                <c:pt idx="14">
                  <c:v>17-Feb</c:v>
                </c:pt>
                <c:pt idx="15">
                  <c:v>18-Feb</c:v>
                </c:pt>
                <c:pt idx="16">
                  <c:v>19-Feb</c:v>
                </c:pt>
                <c:pt idx="17">
                  <c:v>20-Feb</c:v>
                </c:pt>
                <c:pt idx="18">
                  <c:v>21-Feb</c:v>
                </c:pt>
                <c:pt idx="19">
                  <c:v>22-Feb</c:v>
                </c:pt>
                <c:pt idx="20">
                  <c:v>23-Feb</c:v>
                </c:pt>
                <c:pt idx="21">
                  <c:v>24-Feb</c:v>
                </c:pt>
                <c:pt idx="22">
                  <c:v>25-Feb</c:v>
                </c:pt>
                <c:pt idx="23">
                  <c:v>27-Feb</c:v>
                </c:pt>
                <c:pt idx="24">
                  <c:v>28-Feb</c:v>
                </c:pt>
                <c:pt idx="25">
                  <c:v>29-Feb</c:v>
                </c:pt>
              </c:strCache>
            </c:strRef>
          </c:cat>
          <c:val>
            <c:numRef>
              <c:f>Pivot_report!$N$5:$N$31</c:f>
              <c:numCache>
                <c:formatCode>0.00</c:formatCode>
                <c:ptCount val="26"/>
                <c:pt idx="0">
                  <c:v>3.5</c:v>
                </c:pt>
                <c:pt idx="1">
                  <c:v>5.75</c:v>
                </c:pt>
                <c:pt idx="2">
                  <c:v>6</c:v>
                </c:pt>
                <c:pt idx="3">
                  <c:v>4.5999999999999996</c:v>
                </c:pt>
                <c:pt idx="4">
                  <c:v>5.6</c:v>
                </c:pt>
                <c:pt idx="5">
                  <c:v>5.2</c:v>
                </c:pt>
                <c:pt idx="6">
                  <c:v>5.333333333333333</c:v>
                </c:pt>
                <c:pt idx="7">
                  <c:v>4.666666666666667</c:v>
                </c:pt>
                <c:pt idx="8">
                  <c:v>2.6666666666666665</c:v>
                </c:pt>
                <c:pt idx="9">
                  <c:v>8</c:v>
                </c:pt>
                <c:pt idx="10">
                  <c:v>5.75</c:v>
                </c:pt>
                <c:pt idx="11">
                  <c:v>3.4444444444444446</c:v>
                </c:pt>
                <c:pt idx="12">
                  <c:v>1.5</c:v>
                </c:pt>
                <c:pt idx="13">
                  <c:v>3.6666666666666665</c:v>
                </c:pt>
                <c:pt idx="14">
                  <c:v>4.4285714285714288</c:v>
                </c:pt>
                <c:pt idx="15">
                  <c:v>6</c:v>
                </c:pt>
                <c:pt idx="16">
                  <c:v>2.6666666666666665</c:v>
                </c:pt>
                <c:pt idx="17">
                  <c:v>7.5</c:v>
                </c:pt>
                <c:pt idx="18">
                  <c:v>4.5</c:v>
                </c:pt>
                <c:pt idx="19">
                  <c:v>8</c:v>
                </c:pt>
                <c:pt idx="20">
                  <c:v>4.3636363636363633</c:v>
                </c:pt>
                <c:pt idx="21">
                  <c:v>0</c:v>
                </c:pt>
                <c:pt idx="22">
                  <c:v>10</c:v>
                </c:pt>
                <c:pt idx="23">
                  <c:v>6.75</c:v>
                </c:pt>
                <c:pt idx="24">
                  <c:v>7</c:v>
                </c:pt>
                <c:pt idx="25">
                  <c:v>3.3333333333333335</c:v>
                </c:pt>
              </c:numCache>
            </c:numRef>
          </c:val>
          <c:extLst>
            <c:ext xmlns:c16="http://schemas.microsoft.com/office/drawing/2014/chart" uri="{C3380CC4-5D6E-409C-BE32-E72D297353CC}">
              <c16:uniqueId val="{00000000-F4C2-42B5-9004-93201CAA9E8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343741231"/>
        <c:axId val="343736911"/>
      </c:areaChart>
      <c:catAx>
        <c:axId val="3437412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343736911"/>
        <c:crosses val="autoZero"/>
        <c:auto val="1"/>
        <c:lblAlgn val="ctr"/>
        <c:lblOffset val="100"/>
        <c:noMultiLvlLbl val="0"/>
      </c:catAx>
      <c:valAx>
        <c:axId val="343736911"/>
        <c:scaling>
          <c:orientation val="minMax"/>
        </c:scaling>
        <c:delete val="1"/>
        <c:axPos val="l"/>
        <c:numFmt formatCode="0.00" sourceLinked="1"/>
        <c:majorTickMark val="out"/>
        <c:minorTickMark val="none"/>
        <c:tickLblPos val="nextTo"/>
        <c:crossAx val="34374123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2.xml"/><Relationship Id="rId4" Type="http://schemas.openxmlformats.org/officeDocument/2006/relationships/image" Target="../media/image2.svg"/></Relationships>
</file>

<file path=xl/drawings/_rels/drawing3.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5.xml"/><Relationship Id="rId18" Type="http://schemas.openxmlformats.org/officeDocument/2006/relationships/chart" Target="../charts/chart9.xml"/><Relationship Id="rId3" Type="http://schemas.openxmlformats.org/officeDocument/2006/relationships/image" Target="../media/image5.svg"/><Relationship Id="rId7" Type="http://schemas.openxmlformats.org/officeDocument/2006/relationships/image" Target="../media/image9.svg"/><Relationship Id="rId12" Type="http://schemas.openxmlformats.org/officeDocument/2006/relationships/hyperlink" Target="#'Satisfaction Score Daily Trends'!A1"/><Relationship Id="rId17" Type="http://schemas.openxmlformats.org/officeDocument/2006/relationships/chart" Target="../charts/chart8.xml"/><Relationship Id="rId2" Type="http://schemas.openxmlformats.org/officeDocument/2006/relationships/image" Target="../media/image4.png"/><Relationship Id="rId16" Type="http://schemas.openxmlformats.org/officeDocument/2006/relationships/chart" Target="../charts/chart7.xml"/><Relationship Id="rId1" Type="http://schemas.openxmlformats.org/officeDocument/2006/relationships/image" Target="../media/image3.png"/><Relationship Id="rId6" Type="http://schemas.openxmlformats.org/officeDocument/2006/relationships/image" Target="../media/image8.png"/><Relationship Id="rId11" Type="http://schemas.openxmlformats.org/officeDocument/2006/relationships/chart" Target="../charts/chart4.xml"/><Relationship Id="rId5" Type="http://schemas.openxmlformats.org/officeDocument/2006/relationships/image" Target="../media/image7.svg"/><Relationship Id="rId15" Type="http://schemas.openxmlformats.org/officeDocument/2006/relationships/chart" Target="../charts/chart6.xml"/><Relationship Id="rId10" Type="http://schemas.openxmlformats.org/officeDocument/2006/relationships/hyperlink" Target="#'Average Wait Time Daily Trend'!A1"/><Relationship Id="rId4" Type="http://schemas.openxmlformats.org/officeDocument/2006/relationships/image" Target="../media/image6.png"/><Relationship Id="rId9" Type="http://schemas.openxmlformats.org/officeDocument/2006/relationships/chart" Target="../charts/chart3.xml"/><Relationship Id="rId14" Type="http://schemas.openxmlformats.org/officeDocument/2006/relationships/image" Target="../media/image10.emf"/></Relationships>
</file>

<file path=xl/drawings/_rels/drawing4.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2.svg"/></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3" Type="http://schemas.openxmlformats.org/officeDocument/2006/relationships/image" Target="../media/image2.svg"/><Relationship Id="rId2" Type="http://schemas.openxmlformats.org/officeDocument/2006/relationships/image" Target="../media/image1.png"/><Relationship Id="rId1" Type="http://schemas.openxmlformats.org/officeDocument/2006/relationships/hyperlink" Target="#Dashboard!A1"/></Relationships>
</file>

<file path=xl/drawings/_rels/vmlDrawing1.vml.rels><?xml version="1.0" encoding="UTF-8" standalone="yes"?>
<Relationships xmlns="http://schemas.openxmlformats.org/package/2006/relationships"><Relationship Id="rId1" Type="http://schemas.openxmlformats.org/officeDocument/2006/relationships/image" Target="../media/image11.emf"/></Relationships>
</file>

<file path=xl/drawings/drawing1.xml><?xml version="1.0" encoding="utf-8"?>
<xdr:wsDr xmlns:xdr="http://schemas.openxmlformats.org/drawingml/2006/spreadsheetDrawing" xmlns:a="http://schemas.openxmlformats.org/drawingml/2006/main">
  <xdr:twoCellAnchor>
    <xdr:from>
      <xdr:col>4</xdr:col>
      <xdr:colOff>0</xdr:colOff>
      <xdr:row>51</xdr:row>
      <xdr:rowOff>107950</xdr:rowOff>
    </xdr:from>
    <xdr:to>
      <xdr:col>4</xdr:col>
      <xdr:colOff>1905000</xdr:colOff>
      <xdr:row>54</xdr:row>
      <xdr:rowOff>31750</xdr:rowOff>
    </xdr:to>
    <xdr:graphicFrame macro="">
      <xdr:nvGraphicFramePr>
        <xdr:cNvPr id="6" name="Chart 5">
          <a:extLst>
            <a:ext uri="{FF2B5EF4-FFF2-40B4-BE49-F238E27FC236}">
              <a16:creationId xmlns:a16="http://schemas.microsoft.com/office/drawing/2014/main" id="{030E4165-6B20-8D3C-7600-08C0510B76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285750</xdr:colOff>
      <xdr:row>3</xdr:row>
      <xdr:rowOff>0</xdr:rowOff>
    </xdr:from>
    <xdr:to>
      <xdr:col>15</xdr:col>
      <xdr:colOff>254000</xdr:colOff>
      <xdr:row>23</xdr:row>
      <xdr:rowOff>158750</xdr:rowOff>
    </xdr:to>
    <xdr:graphicFrame macro="">
      <xdr:nvGraphicFramePr>
        <xdr:cNvPr id="2" name="Chart 1">
          <a:extLst>
            <a:ext uri="{FF2B5EF4-FFF2-40B4-BE49-F238E27FC236}">
              <a16:creationId xmlns:a16="http://schemas.microsoft.com/office/drawing/2014/main" id="{433A0B48-6BEF-4CA8-B779-D3733E76C4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285750</xdr:colOff>
      <xdr:row>3</xdr:row>
      <xdr:rowOff>6350</xdr:rowOff>
    </xdr:from>
    <xdr:to>
      <xdr:col>2</xdr:col>
      <xdr:colOff>241300</xdr:colOff>
      <xdr:row>5</xdr:row>
      <xdr:rowOff>107950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5FE23CD0-4640-7385-D792-F79127313BA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95350" y="558800"/>
          <a:ext cx="565150" cy="4699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68036</xdr:colOff>
      <xdr:row>0</xdr:row>
      <xdr:rowOff>58965</xdr:rowOff>
    </xdr:from>
    <xdr:to>
      <xdr:col>4</xdr:col>
      <xdr:colOff>417288</xdr:colOff>
      <xdr:row>2</xdr:row>
      <xdr:rowOff>172357</xdr:rowOff>
    </xdr:to>
    <xdr:sp macro="" textlink="">
      <xdr:nvSpPr>
        <xdr:cNvPr id="2" name="Rectangle 1">
          <a:extLst>
            <a:ext uri="{FF2B5EF4-FFF2-40B4-BE49-F238E27FC236}">
              <a16:creationId xmlns:a16="http://schemas.microsoft.com/office/drawing/2014/main" id="{D4F3B635-F432-2AD1-A4DB-3D845DC94886}"/>
            </a:ext>
          </a:extLst>
        </xdr:cNvPr>
        <xdr:cNvSpPr/>
      </xdr:nvSpPr>
      <xdr:spPr>
        <a:xfrm>
          <a:off x="68036" y="58965"/>
          <a:ext cx="2780395" cy="48532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4</xdr:col>
      <xdr:colOff>551546</xdr:colOff>
      <xdr:row>0</xdr:row>
      <xdr:rowOff>61687</xdr:rowOff>
    </xdr:from>
    <xdr:to>
      <xdr:col>6</xdr:col>
      <xdr:colOff>494396</xdr:colOff>
      <xdr:row>2</xdr:row>
      <xdr:rowOff>175079</xdr:rowOff>
    </xdr:to>
    <xdr:sp macro="" textlink="">
      <xdr:nvSpPr>
        <xdr:cNvPr id="3" name="Rectangle 2">
          <a:extLst>
            <a:ext uri="{FF2B5EF4-FFF2-40B4-BE49-F238E27FC236}">
              <a16:creationId xmlns:a16="http://schemas.microsoft.com/office/drawing/2014/main" id="{8423B11C-224F-4E5D-9F57-77EB77A1F53E}"/>
            </a:ext>
          </a:extLst>
        </xdr:cNvPr>
        <xdr:cNvSpPr/>
      </xdr:nvSpPr>
      <xdr:spPr>
        <a:xfrm>
          <a:off x="2982689" y="61687"/>
          <a:ext cx="1158421" cy="485321"/>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73479</xdr:colOff>
      <xdr:row>3</xdr:row>
      <xdr:rowOff>181427</xdr:rowOff>
    </xdr:from>
    <xdr:to>
      <xdr:col>1</xdr:col>
      <xdr:colOff>254001</xdr:colOff>
      <xdr:row>15</xdr:row>
      <xdr:rowOff>185963</xdr:rowOff>
    </xdr:to>
    <xdr:sp macro="" textlink="">
      <xdr:nvSpPr>
        <xdr:cNvPr id="4" name="Rectangle 3">
          <a:extLst>
            <a:ext uri="{FF2B5EF4-FFF2-40B4-BE49-F238E27FC236}">
              <a16:creationId xmlns:a16="http://schemas.microsoft.com/office/drawing/2014/main" id="{40681EB5-3E9B-410E-9011-D650582AFAA9}"/>
            </a:ext>
          </a:extLst>
        </xdr:cNvPr>
        <xdr:cNvSpPr/>
      </xdr:nvSpPr>
      <xdr:spPr>
        <a:xfrm>
          <a:off x="73479" y="739320"/>
          <a:ext cx="788308" cy="224064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421823</xdr:colOff>
      <xdr:row>8</xdr:row>
      <xdr:rowOff>36286</xdr:rowOff>
    </xdr:from>
    <xdr:to>
      <xdr:col>6</xdr:col>
      <xdr:colOff>503467</xdr:colOff>
      <xdr:row>11</xdr:row>
      <xdr:rowOff>108856</xdr:rowOff>
    </xdr:to>
    <xdr:sp macro="" textlink="">
      <xdr:nvSpPr>
        <xdr:cNvPr id="5" name="Rectangle 4">
          <a:extLst>
            <a:ext uri="{FF2B5EF4-FFF2-40B4-BE49-F238E27FC236}">
              <a16:creationId xmlns:a16="http://schemas.microsoft.com/office/drawing/2014/main" id="{342D8385-FC6B-44AA-8EA9-E8AAAC76F7EC}"/>
            </a:ext>
          </a:extLst>
        </xdr:cNvPr>
        <xdr:cNvSpPr/>
      </xdr:nvSpPr>
      <xdr:spPr>
        <a:xfrm>
          <a:off x="1029609" y="1524000"/>
          <a:ext cx="3120572" cy="630463"/>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145150</xdr:colOff>
      <xdr:row>6</xdr:row>
      <xdr:rowOff>95249</xdr:rowOff>
    </xdr:from>
    <xdr:to>
      <xdr:col>11</xdr:col>
      <xdr:colOff>86185</xdr:colOff>
      <xdr:row>17</xdr:row>
      <xdr:rowOff>31750</xdr:rowOff>
    </xdr:to>
    <xdr:sp macro="" textlink="">
      <xdr:nvSpPr>
        <xdr:cNvPr id="6" name="Rectangle 5">
          <a:extLst>
            <a:ext uri="{FF2B5EF4-FFF2-40B4-BE49-F238E27FC236}">
              <a16:creationId xmlns:a16="http://schemas.microsoft.com/office/drawing/2014/main" id="{3EA9FFCC-767D-49E1-A1C0-82EE5D3B8C50}"/>
            </a:ext>
          </a:extLst>
        </xdr:cNvPr>
        <xdr:cNvSpPr/>
      </xdr:nvSpPr>
      <xdr:spPr>
        <a:xfrm>
          <a:off x="4399650" y="1211035"/>
          <a:ext cx="2372178" cy="1986644"/>
        </a:xfrm>
        <a:prstGeom prst="rect">
          <a:avLst/>
        </a:prstGeom>
        <a:solidFill>
          <a:schemeClr val="bg1">
            <a:lumMod val="95000"/>
          </a:schemeClr>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131540</xdr:colOff>
      <xdr:row>0</xdr:row>
      <xdr:rowOff>72571</xdr:rowOff>
    </xdr:from>
    <xdr:to>
      <xdr:col>9</xdr:col>
      <xdr:colOff>90715</xdr:colOff>
      <xdr:row>6</xdr:row>
      <xdr:rowOff>13607</xdr:rowOff>
    </xdr:to>
    <xdr:sp macro="" textlink="">
      <xdr:nvSpPr>
        <xdr:cNvPr id="7" name="Rectangle 6">
          <a:extLst>
            <a:ext uri="{FF2B5EF4-FFF2-40B4-BE49-F238E27FC236}">
              <a16:creationId xmlns:a16="http://schemas.microsoft.com/office/drawing/2014/main" id="{4E2A9100-E9ED-408E-8426-AC9CB46CFD00}"/>
            </a:ext>
          </a:extLst>
        </xdr:cNvPr>
        <xdr:cNvSpPr/>
      </xdr:nvSpPr>
      <xdr:spPr>
        <a:xfrm>
          <a:off x="4386040" y="72571"/>
          <a:ext cx="1174746" cy="105682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125193</xdr:colOff>
      <xdr:row>0</xdr:row>
      <xdr:rowOff>70758</xdr:rowOff>
    </xdr:from>
    <xdr:to>
      <xdr:col>11</xdr:col>
      <xdr:colOff>68042</xdr:colOff>
      <xdr:row>6</xdr:row>
      <xdr:rowOff>9070</xdr:rowOff>
    </xdr:to>
    <xdr:sp macro="" textlink="">
      <xdr:nvSpPr>
        <xdr:cNvPr id="9" name="Rectangle 8">
          <a:extLst>
            <a:ext uri="{FF2B5EF4-FFF2-40B4-BE49-F238E27FC236}">
              <a16:creationId xmlns:a16="http://schemas.microsoft.com/office/drawing/2014/main" id="{53BBFB4B-F3DD-4E02-8738-D681B8A37977}"/>
            </a:ext>
          </a:extLst>
        </xdr:cNvPr>
        <xdr:cNvSpPr/>
      </xdr:nvSpPr>
      <xdr:spPr>
        <a:xfrm>
          <a:off x="5595264" y="70758"/>
          <a:ext cx="1158421" cy="105409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436342</xdr:colOff>
      <xdr:row>3</xdr:row>
      <xdr:rowOff>169899</xdr:rowOff>
    </xdr:from>
    <xdr:to>
      <xdr:col>3</xdr:col>
      <xdr:colOff>215906</xdr:colOff>
      <xdr:row>7</xdr:row>
      <xdr:rowOff>68034</xdr:rowOff>
    </xdr:to>
    <xdr:sp macro="" textlink="">
      <xdr:nvSpPr>
        <xdr:cNvPr id="10" name="Rectangle 9">
          <a:extLst>
            <a:ext uri="{FF2B5EF4-FFF2-40B4-BE49-F238E27FC236}">
              <a16:creationId xmlns:a16="http://schemas.microsoft.com/office/drawing/2014/main" id="{1CE21E10-4DE4-4E98-91C5-BA4D189207F9}"/>
            </a:ext>
          </a:extLst>
        </xdr:cNvPr>
        <xdr:cNvSpPr/>
      </xdr:nvSpPr>
      <xdr:spPr>
        <a:xfrm>
          <a:off x="1044128" y="727792"/>
          <a:ext cx="995135" cy="64199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266706</xdr:colOff>
      <xdr:row>3</xdr:row>
      <xdr:rowOff>167500</xdr:rowOff>
    </xdr:from>
    <xdr:to>
      <xdr:col>5</xdr:col>
      <xdr:colOff>46269</xdr:colOff>
      <xdr:row>7</xdr:row>
      <xdr:rowOff>65635</xdr:rowOff>
    </xdr:to>
    <xdr:sp macro="" textlink="">
      <xdr:nvSpPr>
        <xdr:cNvPr id="11" name="Rectangle 10">
          <a:extLst>
            <a:ext uri="{FF2B5EF4-FFF2-40B4-BE49-F238E27FC236}">
              <a16:creationId xmlns:a16="http://schemas.microsoft.com/office/drawing/2014/main" id="{B49A482B-FC17-4BDA-A42F-9FDE40D6AC0E}"/>
            </a:ext>
          </a:extLst>
        </xdr:cNvPr>
        <xdr:cNvSpPr/>
      </xdr:nvSpPr>
      <xdr:spPr>
        <a:xfrm>
          <a:off x="2090063" y="725393"/>
          <a:ext cx="995135" cy="64199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115208</xdr:colOff>
      <xdr:row>3</xdr:row>
      <xdr:rowOff>169634</xdr:rowOff>
    </xdr:from>
    <xdr:to>
      <xdr:col>6</xdr:col>
      <xdr:colOff>502558</xdr:colOff>
      <xdr:row>7</xdr:row>
      <xdr:rowOff>67769</xdr:rowOff>
    </xdr:to>
    <xdr:sp macro="" textlink="">
      <xdr:nvSpPr>
        <xdr:cNvPr id="12" name="Rectangle 11">
          <a:extLst>
            <a:ext uri="{FF2B5EF4-FFF2-40B4-BE49-F238E27FC236}">
              <a16:creationId xmlns:a16="http://schemas.microsoft.com/office/drawing/2014/main" id="{EA8535E7-7BFF-4003-BCD2-B4F498A16F75}"/>
            </a:ext>
          </a:extLst>
        </xdr:cNvPr>
        <xdr:cNvSpPr/>
      </xdr:nvSpPr>
      <xdr:spPr>
        <a:xfrm>
          <a:off x="3154137" y="727527"/>
          <a:ext cx="995135" cy="641992"/>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426357</xdr:colOff>
      <xdr:row>11</xdr:row>
      <xdr:rowOff>154213</xdr:rowOff>
    </xdr:from>
    <xdr:to>
      <xdr:col>6</xdr:col>
      <xdr:colOff>517072</xdr:colOff>
      <xdr:row>17</xdr:row>
      <xdr:rowOff>31749</xdr:rowOff>
    </xdr:to>
    <xdr:sp macro="" textlink="">
      <xdr:nvSpPr>
        <xdr:cNvPr id="14" name="Rectangle 13">
          <a:extLst>
            <a:ext uri="{FF2B5EF4-FFF2-40B4-BE49-F238E27FC236}">
              <a16:creationId xmlns:a16="http://schemas.microsoft.com/office/drawing/2014/main" id="{C8E230D9-9173-437C-9527-468742064951}"/>
            </a:ext>
          </a:extLst>
        </xdr:cNvPr>
        <xdr:cNvSpPr/>
      </xdr:nvSpPr>
      <xdr:spPr>
        <a:xfrm>
          <a:off x="1034143" y="2199820"/>
          <a:ext cx="3129643" cy="997858"/>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462643</xdr:colOff>
      <xdr:row>17</xdr:row>
      <xdr:rowOff>31749</xdr:rowOff>
    </xdr:from>
    <xdr:to>
      <xdr:col>6</xdr:col>
      <xdr:colOff>603250</xdr:colOff>
      <xdr:row>17</xdr:row>
      <xdr:rowOff>40820</xdr:rowOff>
    </xdr:to>
    <xdr:cxnSp macro="">
      <xdr:nvCxnSpPr>
        <xdr:cNvPr id="16" name="Straight Connector 15">
          <a:extLst>
            <a:ext uri="{FF2B5EF4-FFF2-40B4-BE49-F238E27FC236}">
              <a16:creationId xmlns:a16="http://schemas.microsoft.com/office/drawing/2014/main" id="{FC005E93-2D61-7A6E-7498-E30DB7193CF0}"/>
            </a:ext>
          </a:extLst>
        </xdr:cNvPr>
        <xdr:cNvCxnSpPr/>
      </xdr:nvCxnSpPr>
      <xdr:spPr>
        <a:xfrm flipV="1">
          <a:off x="462643" y="3197678"/>
          <a:ext cx="3787321" cy="9071"/>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603250</xdr:colOff>
      <xdr:row>0</xdr:row>
      <xdr:rowOff>136071</xdr:rowOff>
    </xdr:from>
    <xdr:to>
      <xdr:col>4</xdr:col>
      <xdr:colOff>421822</xdr:colOff>
      <xdr:row>1</xdr:row>
      <xdr:rowOff>167821</xdr:rowOff>
    </xdr:to>
    <xdr:sp macro="" textlink="">
      <xdr:nvSpPr>
        <xdr:cNvPr id="19" name="TextBox 18">
          <a:extLst>
            <a:ext uri="{FF2B5EF4-FFF2-40B4-BE49-F238E27FC236}">
              <a16:creationId xmlns:a16="http://schemas.microsoft.com/office/drawing/2014/main" id="{34E6BB1C-F037-0D48-242A-CA7E7744924B}"/>
            </a:ext>
          </a:extLst>
        </xdr:cNvPr>
        <xdr:cNvSpPr txBox="1"/>
      </xdr:nvSpPr>
      <xdr:spPr>
        <a:xfrm>
          <a:off x="603250" y="136071"/>
          <a:ext cx="2249715"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1100"/>
            <a:t>Hospital</a:t>
          </a:r>
          <a:r>
            <a:rPr lang="en-US" sz="1100" baseline="0"/>
            <a:t> Emergency Room Dashboard</a:t>
          </a:r>
          <a:endParaRPr lang="en-US" sz="1100"/>
        </a:p>
      </xdr:txBody>
    </xdr:sp>
    <xdr:clientData/>
  </xdr:twoCellAnchor>
  <xdr:twoCellAnchor editAs="oneCell">
    <xdr:from>
      <xdr:col>0</xdr:col>
      <xdr:colOff>99786</xdr:colOff>
      <xdr:row>0</xdr:row>
      <xdr:rowOff>58964</xdr:rowOff>
    </xdr:from>
    <xdr:to>
      <xdr:col>0</xdr:col>
      <xdr:colOff>594179</xdr:colOff>
      <xdr:row>2</xdr:row>
      <xdr:rowOff>127000</xdr:rowOff>
    </xdr:to>
    <xdr:pic>
      <xdr:nvPicPr>
        <xdr:cNvPr id="21" name="Picture 20">
          <a:extLst>
            <a:ext uri="{FF2B5EF4-FFF2-40B4-BE49-F238E27FC236}">
              <a16:creationId xmlns:a16="http://schemas.microsoft.com/office/drawing/2014/main" id="{75D177C8-F578-72EA-2125-27119EAC606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9786" y="58964"/>
          <a:ext cx="494393" cy="439965"/>
        </a:xfrm>
        <a:prstGeom prst="rect">
          <a:avLst/>
        </a:prstGeom>
      </xdr:spPr>
    </xdr:pic>
    <xdr:clientData/>
  </xdr:twoCellAnchor>
  <xdr:twoCellAnchor>
    <xdr:from>
      <xdr:col>1</xdr:col>
      <xdr:colOff>519793</xdr:colOff>
      <xdr:row>1</xdr:row>
      <xdr:rowOff>131536</xdr:rowOff>
    </xdr:from>
    <xdr:to>
      <xdr:col>3</xdr:col>
      <xdr:colOff>149678</xdr:colOff>
      <xdr:row>2</xdr:row>
      <xdr:rowOff>99786</xdr:rowOff>
    </xdr:to>
    <xdr:sp macro="" textlink="">
      <xdr:nvSpPr>
        <xdr:cNvPr id="23" name="TextBox 22">
          <a:extLst>
            <a:ext uri="{FF2B5EF4-FFF2-40B4-BE49-F238E27FC236}">
              <a16:creationId xmlns:a16="http://schemas.microsoft.com/office/drawing/2014/main" id="{4ED9AA59-A02A-491D-94DF-1000B68ABBE2}"/>
            </a:ext>
          </a:extLst>
        </xdr:cNvPr>
        <xdr:cNvSpPr txBox="1"/>
      </xdr:nvSpPr>
      <xdr:spPr>
        <a:xfrm>
          <a:off x="1127579" y="317500"/>
          <a:ext cx="845456" cy="1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900"/>
            <a:t>Monthly</a:t>
          </a:r>
          <a:r>
            <a:rPr lang="en-US" sz="900" baseline="0"/>
            <a:t> Report</a:t>
          </a:r>
          <a:endParaRPr lang="en-US" sz="900"/>
        </a:p>
      </xdr:txBody>
    </xdr:sp>
    <xdr:clientData/>
  </xdr:twoCellAnchor>
  <xdr:twoCellAnchor>
    <xdr:from>
      <xdr:col>1</xdr:col>
      <xdr:colOff>576948</xdr:colOff>
      <xdr:row>4</xdr:row>
      <xdr:rowOff>179615</xdr:rowOff>
    </xdr:from>
    <xdr:to>
      <xdr:col>3</xdr:col>
      <xdr:colOff>206833</xdr:colOff>
      <xdr:row>5</xdr:row>
      <xdr:rowOff>147866</xdr:rowOff>
    </xdr:to>
    <xdr:sp macro="" textlink="">
      <xdr:nvSpPr>
        <xdr:cNvPr id="24" name="TextBox 23">
          <a:extLst>
            <a:ext uri="{FF2B5EF4-FFF2-40B4-BE49-F238E27FC236}">
              <a16:creationId xmlns:a16="http://schemas.microsoft.com/office/drawing/2014/main" id="{371143D1-A5FB-482D-9B2A-D8C6039E7B78}"/>
            </a:ext>
          </a:extLst>
        </xdr:cNvPr>
        <xdr:cNvSpPr txBox="1"/>
      </xdr:nvSpPr>
      <xdr:spPr>
        <a:xfrm>
          <a:off x="1184734" y="923472"/>
          <a:ext cx="845456" cy="1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a:t>No.</a:t>
          </a:r>
          <a:r>
            <a:rPr lang="en-US" sz="800" baseline="0"/>
            <a:t> of Patient</a:t>
          </a:r>
        </a:p>
        <a:p>
          <a:endParaRPr lang="en-US" sz="900"/>
        </a:p>
      </xdr:txBody>
    </xdr:sp>
    <xdr:clientData/>
  </xdr:twoCellAnchor>
  <xdr:twoCellAnchor>
    <xdr:from>
      <xdr:col>3</xdr:col>
      <xdr:colOff>330204</xdr:colOff>
      <xdr:row>5</xdr:row>
      <xdr:rowOff>5443</xdr:rowOff>
    </xdr:from>
    <xdr:to>
      <xdr:col>5</xdr:col>
      <xdr:colOff>22682</xdr:colOff>
      <xdr:row>5</xdr:row>
      <xdr:rowOff>140608</xdr:rowOff>
    </xdr:to>
    <xdr:sp macro="" textlink="">
      <xdr:nvSpPr>
        <xdr:cNvPr id="25" name="TextBox 24">
          <a:extLst>
            <a:ext uri="{FF2B5EF4-FFF2-40B4-BE49-F238E27FC236}">
              <a16:creationId xmlns:a16="http://schemas.microsoft.com/office/drawing/2014/main" id="{0E38828C-A9E0-451E-8FAE-D0223BA81DCA}"/>
            </a:ext>
          </a:extLst>
        </xdr:cNvPr>
        <xdr:cNvSpPr txBox="1"/>
      </xdr:nvSpPr>
      <xdr:spPr>
        <a:xfrm>
          <a:off x="2153561" y="935264"/>
          <a:ext cx="908050" cy="1351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a:t>Average</a:t>
          </a:r>
          <a:r>
            <a:rPr lang="en-US" sz="800" baseline="0"/>
            <a:t> Wait Time</a:t>
          </a:r>
          <a:endParaRPr lang="en-US" sz="800"/>
        </a:p>
      </xdr:txBody>
    </xdr:sp>
    <xdr:clientData/>
  </xdr:twoCellAnchor>
  <xdr:twoCellAnchor>
    <xdr:from>
      <xdr:col>5</xdr:col>
      <xdr:colOff>124280</xdr:colOff>
      <xdr:row>5</xdr:row>
      <xdr:rowOff>17236</xdr:rowOff>
    </xdr:from>
    <xdr:to>
      <xdr:col>7</xdr:col>
      <xdr:colOff>45358</xdr:colOff>
      <xdr:row>5</xdr:row>
      <xdr:rowOff>158751</xdr:rowOff>
    </xdr:to>
    <xdr:sp macro="" textlink="">
      <xdr:nvSpPr>
        <xdr:cNvPr id="26" name="TextBox 25">
          <a:extLst>
            <a:ext uri="{FF2B5EF4-FFF2-40B4-BE49-F238E27FC236}">
              <a16:creationId xmlns:a16="http://schemas.microsoft.com/office/drawing/2014/main" id="{C07EAF54-9327-468E-9DFF-BDAD5336A7BA}"/>
            </a:ext>
          </a:extLst>
        </xdr:cNvPr>
        <xdr:cNvSpPr txBox="1"/>
      </xdr:nvSpPr>
      <xdr:spPr>
        <a:xfrm>
          <a:off x="3163209" y="947057"/>
          <a:ext cx="1136649" cy="141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a:t>Patient Satisfcation</a:t>
          </a:r>
          <a:r>
            <a:rPr lang="en-US" sz="800" baseline="0"/>
            <a:t> Scr.</a:t>
          </a:r>
          <a:endParaRPr lang="en-US" sz="800"/>
        </a:p>
      </xdr:txBody>
    </xdr:sp>
    <xdr:clientData/>
  </xdr:twoCellAnchor>
  <xdr:twoCellAnchor>
    <xdr:from>
      <xdr:col>2</xdr:col>
      <xdr:colOff>144240</xdr:colOff>
      <xdr:row>4</xdr:row>
      <xdr:rowOff>36284</xdr:rowOff>
    </xdr:from>
    <xdr:to>
      <xdr:col>2</xdr:col>
      <xdr:colOff>517075</xdr:colOff>
      <xdr:row>5</xdr:row>
      <xdr:rowOff>49892</xdr:rowOff>
    </xdr:to>
    <xdr:sp macro="" textlink="Pivot_report!A5">
      <xdr:nvSpPr>
        <xdr:cNvPr id="27" name="TextBox 26">
          <a:extLst>
            <a:ext uri="{FF2B5EF4-FFF2-40B4-BE49-F238E27FC236}">
              <a16:creationId xmlns:a16="http://schemas.microsoft.com/office/drawing/2014/main" id="{E6AD581A-F270-43D0-8178-F6B1572CCA3A}"/>
            </a:ext>
          </a:extLst>
        </xdr:cNvPr>
        <xdr:cNvSpPr txBox="1"/>
      </xdr:nvSpPr>
      <xdr:spPr>
        <a:xfrm>
          <a:off x="1359811" y="780141"/>
          <a:ext cx="372835" cy="199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F82EFAF3-29BF-4673-B332-A7D2C12B99D3}" type="TxLink">
            <a:rPr lang="en-US" sz="1000" b="0" i="0" u="none" strike="noStrike">
              <a:solidFill>
                <a:srgbClr val="000000"/>
              </a:solidFill>
              <a:latin typeface="Calibri"/>
              <a:ea typeface="Calibri"/>
              <a:cs typeface="Calibri"/>
            </a:rPr>
            <a:pPr/>
            <a:t>434</a:t>
          </a:fld>
          <a:endParaRPr lang="en-US" sz="1000"/>
        </a:p>
      </xdr:txBody>
    </xdr:sp>
    <xdr:clientData/>
  </xdr:twoCellAnchor>
  <xdr:twoCellAnchor>
    <xdr:from>
      <xdr:col>3</xdr:col>
      <xdr:colOff>464461</xdr:colOff>
      <xdr:row>4</xdr:row>
      <xdr:rowOff>34470</xdr:rowOff>
    </xdr:from>
    <xdr:to>
      <xdr:col>4</xdr:col>
      <xdr:colOff>229510</xdr:colOff>
      <xdr:row>5</xdr:row>
      <xdr:rowOff>48078</xdr:rowOff>
    </xdr:to>
    <xdr:sp macro="" textlink="Pivot_report!A10">
      <xdr:nvSpPr>
        <xdr:cNvPr id="28" name="TextBox 27">
          <a:extLst>
            <a:ext uri="{FF2B5EF4-FFF2-40B4-BE49-F238E27FC236}">
              <a16:creationId xmlns:a16="http://schemas.microsoft.com/office/drawing/2014/main" id="{344F6498-DAF9-41D5-BC35-B90BD050B6A3}"/>
            </a:ext>
          </a:extLst>
        </xdr:cNvPr>
        <xdr:cNvSpPr txBox="1"/>
      </xdr:nvSpPr>
      <xdr:spPr>
        <a:xfrm>
          <a:off x="2287818" y="778327"/>
          <a:ext cx="372835" cy="199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4235A3D-821C-4909-89D8-B71095370676}" type="TxLink">
            <a:rPr lang="en-US" sz="1000" b="0" i="0" u="none" strike="noStrike">
              <a:solidFill>
                <a:srgbClr val="000000"/>
              </a:solidFill>
              <a:latin typeface="Calibri"/>
              <a:ea typeface="Calibri"/>
              <a:cs typeface="Calibri"/>
            </a:rPr>
            <a:pPr/>
            <a:t>36.14</a:t>
          </a:fld>
          <a:endParaRPr lang="en-US" sz="1000" b="0" i="0" u="none" strike="noStrike">
            <a:solidFill>
              <a:srgbClr val="000000"/>
            </a:solidFill>
            <a:latin typeface="Calibri"/>
            <a:ea typeface="Calibri"/>
            <a:cs typeface="Calibri"/>
          </a:endParaRPr>
        </a:p>
      </xdr:txBody>
    </xdr:sp>
    <xdr:clientData/>
  </xdr:twoCellAnchor>
  <xdr:twoCellAnchor>
    <xdr:from>
      <xdr:col>5</xdr:col>
      <xdr:colOff>367397</xdr:colOff>
      <xdr:row>4</xdr:row>
      <xdr:rowOff>46263</xdr:rowOff>
    </xdr:from>
    <xdr:to>
      <xdr:col>6</xdr:col>
      <xdr:colOff>132447</xdr:colOff>
      <xdr:row>5</xdr:row>
      <xdr:rowOff>59871</xdr:rowOff>
    </xdr:to>
    <xdr:sp macro="" textlink="Pivot_report!A16">
      <xdr:nvSpPr>
        <xdr:cNvPr id="29" name="TextBox 28">
          <a:extLst>
            <a:ext uri="{FF2B5EF4-FFF2-40B4-BE49-F238E27FC236}">
              <a16:creationId xmlns:a16="http://schemas.microsoft.com/office/drawing/2014/main" id="{5B004B39-ADDB-4A3F-A88E-0547E8B5E40D}"/>
            </a:ext>
          </a:extLst>
        </xdr:cNvPr>
        <xdr:cNvSpPr txBox="1"/>
      </xdr:nvSpPr>
      <xdr:spPr>
        <a:xfrm>
          <a:off x="3406326" y="790120"/>
          <a:ext cx="372835" cy="199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3AFE6D7C-8339-49FF-9D27-E1A9DD427BD7}" type="TxLink">
            <a:rPr lang="en-US" sz="1000" b="0" i="0" u="none" strike="noStrike">
              <a:solidFill>
                <a:srgbClr val="000000"/>
              </a:solidFill>
              <a:latin typeface="Calibri"/>
              <a:ea typeface="Calibri"/>
              <a:cs typeface="Calibri"/>
            </a:rPr>
            <a:pPr/>
            <a:t>4.78</a:t>
          </a:fld>
          <a:endParaRPr lang="en-US" sz="1000"/>
        </a:p>
      </xdr:txBody>
    </xdr:sp>
    <xdr:clientData/>
  </xdr:twoCellAnchor>
  <xdr:twoCellAnchor editAs="oneCell">
    <xdr:from>
      <xdr:col>4</xdr:col>
      <xdr:colOff>204107</xdr:colOff>
      <xdr:row>4</xdr:row>
      <xdr:rowOff>31750</xdr:rowOff>
    </xdr:from>
    <xdr:to>
      <xdr:col>4</xdr:col>
      <xdr:colOff>526142</xdr:colOff>
      <xdr:row>5</xdr:row>
      <xdr:rowOff>18144</xdr:rowOff>
    </xdr:to>
    <xdr:pic>
      <xdr:nvPicPr>
        <xdr:cNvPr id="31" name="Graphic 30" descr="Hourglass Finished with solid fill">
          <a:extLst>
            <a:ext uri="{FF2B5EF4-FFF2-40B4-BE49-F238E27FC236}">
              <a16:creationId xmlns:a16="http://schemas.microsoft.com/office/drawing/2014/main" id="{C3325752-6774-7363-C766-CF7C9076D74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2635250" y="775607"/>
          <a:ext cx="322035" cy="172358"/>
        </a:xfrm>
        <a:prstGeom prst="rect">
          <a:avLst/>
        </a:prstGeom>
      </xdr:spPr>
    </xdr:pic>
    <xdr:clientData/>
  </xdr:twoCellAnchor>
  <xdr:twoCellAnchor editAs="oneCell">
    <xdr:from>
      <xdr:col>6</xdr:col>
      <xdr:colOff>113399</xdr:colOff>
      <xdr:row>4</xdr:row>
      <xdr:rowOff>22679</xdr:rowOff>
    </xdr:from>
    <xdr:to>
      <xdr:col>6</xdr:col>
      <xdr:colOff>426361</xdr:colOff>
      <xdr:row>5</xdr:row>
      <xdr:rowOff>49893</xdr:rowOff>
    </xdr:to>
    <xdr:pic>
      <xdr:nvPicPr>
        <xdr:cNvPr id="33" name="Graphic 32" descr="Customer review with solid fill">
          <a:extLst>
            <a:ext uri="{FF2B5EF4-FFF2-40B4-BE49-F238E27FC236}">
              <a16:creationId xmlns:a16="http://schemas.microsoft.com/office/drawing/2014/main" id="{86644F79-3E0A-F335-1374-4138C3EAF992}"/>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760113" y="766536"/>
          <a:ext cx="312962" cy="213178"/>
        </a:xfrm>
        <a:prstGeom prst="rect">
          <a:avLst/>
        </a:prstGeom>
      </xdr:spPr>
    </xdr:pic>
    <xdr:clientData/>
  </xdr:twoCellAnchor>
  <xdr:twoCellAnchor editAs="oneCell">
    <xdr:from>
      <xdr:col>2</xdr:col>
      <xdr:colOff>480786</xdr:colOff>
      <xdr:row>4</xdr:row>
      <xdr:rowOff>4536</xdr:rowOff>
    </xdr:from>
    <xdr:to>
      <xdr:col>3</xdr:col>
      <xdr:colOff>140605</xdr:colOff>
      <xdr:row>5</xdr:row>
      <xdr:rowOff>18141</xdr:rowOff>
    </xdr:to>
    <xdr:pic>
      <xdr:nvPicPr>
        <xdr:cNvPr id="35" name="Graphic 34" descr="Male profile with solid fill">
          <a:extLst>
            <a:ext uri="{FF2B5EF4-FFF2-40B4-BE49-F238E27FC236}">
              <a16:creationId xmlns:a16="http://schemas.microsoft.com/office/drawing/2014/main" id="{D7D9A273-48C9-A070-A818-E3DF048694A0}"/>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696357" y="748393"/>
          <a:ext cx="267605" cy="199569"/>
        </a:xfrm>
        <a:prstGeom prst="rect">
          <a:avLst/>
        </a:prstGeom>
      </xdr:spPr>
    </xdr:pic>
    <xdr:clientData/>
  </xdr:twoCellAnchor>
  <xdr:twoCellAnchor editAs="oneCell">
    <xdr:from>
      <xdr:col>0</xdr:col>
      <xdr:colOff>77103</xdr:colOff>
      <xdr:row>3</xdr:row>
      <xdr:rowOff>149715</xdr:rowOff>
    </xdr:from>
    <xdr:to>
      <xdr:col>1</xdr:col>
      <xdr:colOff>281214</xdr:colOff>
      <xdr:row>17</xdr:row>
      <xdr:rowOff>46463</xdr:rowOff>
    </xdr:to>
    <mc:AlternateContent xmlns:mc="http://schemas.openxmlformats.org/markup-compatibility/2006">
      <mc:Choice xmlns:a14="http://schemas.microsoft.com/office/drawing/2010/main" Requires="a14">
        <xdr:graphicFrame macro="">
          <xdr:nvGraphicFramePr>
            <xdr:cNvPr id="40" name="Date (Month)">
              <a:extLst>
                <a:ext uri="{FF2B5EF4-FFF2-40B4-BE49-F238E27FC236}">
                  <a16:creationId xmlns:a16="http://schemas.microsoft.com/office/drawing/2014/main" id="{ABD477EC-DAD8-4C90-AA0E-7F7FFC70E4F5}"/>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77103" y="707276"/>
              <a:ext cx="813298" cy="25038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431808</xdr:colOff>
      <xdr:row>5</xdr:row>
      <xdr:rowOff>104321</xdr:rowOff>
    </xdr:from>
    <xdr:to>
      <xdr:col>3</xdr:col>
      <xdr:colOff>213179</xdr:colOff>
      <xdr:row>7</xdr:row>
      <xdr:rowOff>68036</xdr:rowOff>
    </xdr:to>
    <xdr:graphicFrame macro="">
      <xdr:nvGraphicFramePr>
        <xdr:cNvPr id="57" name="Chart 56">
          <a:hlinkClick xmlns:r="http://schemas.openxmlformats.org/officeDocument/2006/relationships" r:id="rId8"/>
          <a:extLst>
            <a:ext uri="{FF2B5EF4-FFF2-40B4-BE49-F238E27FC236}">
              <a16:creationId xmlns:a16="http://schemas.microsoft.com/office/drawing/2014/main" id="{FDC93383-12E9-4F4B-83BF-71B3664EE6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263072</xdr:colOff>
      <xdr:row>5</xdr:row>
      <xdr:rowOff>104321</xdr:rowOff>
    </xdr:from>
    <xdr:to>
      <xdr:col>5</xdr:col>
      <xdr:colOff>45357</xdr:colOff>
      <xdr:row>7</xdr:row>
      <xdr:rowOff>163285</xdr:rowOff>
    </xdr:to>
    <xdr:graphicFrame macro="">
      <xdr:nvGraphicFramePr>
        <xdr:cNvPr id="58" name="Chart 57">
          <a:hlinkClick xmlns:r="http://schemas.openxmlformats.org/officeDocument/2006/relationships" r:id="rId10"/>
          <a:extLst>
            <a:ext uri="{FF2B5EF4-FFF2-40B4-BE49-F238E27FC236}">
              <a16:creationId xmlns:a16="http://schemas.microsoft.com/office/drawing/2014/main" id="{6CE7AE2F-44F1-49ED-8F50-786BF510C1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99784</xdr:colOff>
      <xdr:row>5</xdr:row>
      <xdr:rowOff>86178</xdr:rowOff>
    </xdr:from>
    <xdr:to>
      <xdr:col>6</xdr:col>
      <xdr:colOff>585107</xdr:colOff>
      <xdr:row>7</xdr:row>
      <xdr:rowOff>122464</xdr:rowOff>
    </xdr:to>
    <xdr:graphicFrame macro="">
      <xdr:nvGraphicFramePr>
        <xdr:cNvPr id="59" name="Chart 58">
          <a:hlinkClick xmlns:r="http://schemas.openxmlformats.org/officeDocument/2006/relationships" r:id="rId12"/>
          <a:extLst>
            <a:ext uri="{FF2B5EF4-FFF2-40B4-BE49-F238E27FC236}">
              <a16:creationId xmlns:a16="http://schemas.microsoft.com/office/drawing/2014/main" id="{1CB7BD93-78FF-4655-99A4-1A0444484F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421825</xdr:colOff>
          <xdr:row>8</xdr:row>
          <xdr:rowOff>22678</xdr:rowOff>
        </xdr:from>
        <xdr:to>
          <xdr:col>6</xdr:col>
          <xdr:colOff>517074</xdr:colOff>
          <xdr:row>11</xdr:row>
          <xdr:rowOff>113392</xdr:rowOff>
        </xdr:to>
        <xdr:pic>
          <xdr:nvPicPr>
            <xdr:cNvPr id="63" name="Picture 62">
              <a:extLst>
                <a:ext uri="{FF2B5EF4-FFF2-40B4-BE49-F238E27FC236}">
                  <a16:creationId xmlns:a16="http://schemas.microsoft.com/office/drawing/2014/main" id="{1F6EC82E-9EDF-1423-553B-682815F7F3C6}"/>
                </a:ext>
              </a:extLst>
            </xdr:cNvPr>
            <xdr:cNvPicPr>
              <a:picLocks noChangeAspect="1" noChangeArrowheads="1"/>
              <a:extLst>
                <a:ext uri="{84589F7E-364E-4C9E-8A38-B11213B215E9}">
                  <a14:cameraTool cellRange="Pivot_report!$B$52:$E$54" spid="_x0000_s2062"/>
                </a:ext>
              </a:extLst>
            </xdr:cNvPicPr>
          </xdr:nvPicPr>
          <xdr:blipFill>
            <a:blip xmlns:r="http://schemas.openxmlformats.org/officeDocument/2006/relationships" r:embed="rId14"/>
            <a:srcRect/>
            <a:stretch>
              <a:fillRect/>
            </a:stretch>
          </xdr:blipFill>
          <xdr:spPr bwMode="auto">
            <a:xfrm>
              <a:off x="1029611" y="1510392"/>
              <a:ext cx="3134177" cy="648607"/>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412748</xdr:colOff>
      <xdr:row>11</xdr:row>
      <xdr:rowOff>172359</xdr:rowOff>
    </xdr:from>
    <xdr:to>
      <xdr:col>6</xdr:col>
      <xdr:colOff>503464</xdr:colOff>
      <xdr:row>16</xdr:row>
      <xdr:rowOff>54430</xdr:rowOff>
    </xdr:to>
    <xdr:graphicFrame macro="">
      <xdr:nvGraphicFramePr>
        <xdr:cNvPr id="65" name="Chart 64">
          <a:extLst>
            <a:ext uri="{FF2B5EF4-FFF2-40B4-BE49-F238E27FC236}">
              <a16:creationId xmlns:a16="http://schemas.microsoft.com/office/drawing/2014/main" id="{009DB9EF-8B23-4888-A32B-124AF84E7E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167821</xdr:colOff>
      <xdr:row>16</xdr:row>
      <xdr:rowOff>68035</xdr:rowOff>
    </xdr:from>
    <xdr:to>
      <xdr:col>5</xdr:col>
      <xdr:colOff>149678</xdr:colOff>
      <xdr:row>17</xdr:row>
      <xdr:rowOff>9071</xdr:rowOff>
    </xdr:to>
    <xdr:sp macro="" textlink="">
      <xdr:nvSpPr>
        <xdr:cNvPr id="66" name="TextBox 65">
          <a:extLst>
            <a:ext uri="{FF2B5EF4-FFF2-40B4-BE49-F238E27FC236}">
              <a16:creationId xmlns:a16="http://schemas.microsoft.com/office/drawing/2014/main" id="{480557E6-49D6-43DD-80AD-B1583C36B42D}"/>
            </a:ext>
          </a:extLst>
        </xdr:cNvPr>
        <xdr:cNvSpPr txBox="1"/>
      </xdr:nvSpPr>
      <xdr:spPr>
        <a:xfrm>
          <a:off x="1991178" y="3047999"/>
          <a:ext cx="1197429" cy="127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b="1"/>
            <a:t>No.</a:t>
          </a:r>
          <a:r>
            <a:rPr lang="en-US" sz="800" b="1" baseline="0"/>
            <a:t> of Patient by age group</a:t>
          </a:r>
        </a:p>
        <a:p>
          <a:endParaRPr lang="en-US" sz="900"/>
        </a:p>
      </xdr:txBody>
    </xdr:sp>
    <xdr:clientData/>
  </xdr:twoCellAnchor>
  <xdr:twoCellAnchor>
    <xdr:from>
      <xdr:col>7</xdr:col>
      <xdr:colOff>131536</xdr:colOff>
      <xdr:row>0</xdr:row>
      <xdr:rowOff>54428</xdr:rowOff>
    </xdr:from>
    <xdr:to>
      <xdr:col>9</xdr:col>
      <xdr:colOff>131537</xdr:colOff>
      <xdr:row>5</xdr:row>
      <xdr:rowOff>145143</xdr:rowOff>
    </xdr:to>
    <xdr:graphicFrame macro="">
      <xdr:nvGraphicFramePr>
        <xdr:cNvPr id="67" name="Chart 66">
          <a:extLst>
            <a:ext uri="{FF2B5EF4-FFF2-40B4-BE49-F238E27FC236}">
              <a16:creationId xmlns:a16="http://schemas.microsoft.com/office/drawing/2014/main" id="{2491F598-4134-4064-A7AE-895DE99597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349257</xdr:colOff>
      <xdr:row>5</xdr:row>
      <xdr:rowOff>68035</xdr:rowOff>
    </xdr:from>
    <xdr:to>
      <xdr:col>8</xdr:col>
      <xdr:colOff>586927</xdr:colOff>
      <xdr:row>6</xdr:row>
      <xdr:rowOff>36285</xdr:rowOff>
    </xdr:to>
    <xdr:sp macro="" textlink="">
      <xdr:nvSpPr>
        <xdr:cNvPr id="69" name="TextBox 68">
          <a:extLst>
            <a:ext uri="{FF2B5EF4-FFF2-40B4-BE49-F238E27FC236}">
              <a16:creationId xmlns:a16="http://schemas.microsoft.com/office/drawing/2014/main" id="{A447F212-6A15-43F5-B0D3-469B04BF1400}"/>
            </a:ext>
          </a:extLst>
        </xdr:cNvPr>
        <xdr:cNvSpPr txBox="1"/>
      </xdr:nvSpPr>
      <xdr:spPr>
        <a:xfrm>
          <a:off x="4603757" y="997856"/>
          <a:ext cx="845456" cy="1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700" baseline="0"/>
            <a:t>Patient Attend status</a:t>
          </a:r>
        </a:p>
        <a:p>
          <a:endParaRPr lang="en-US" sz="700" baseline="0"/>
        </a:p>
        <a:p>
          <a:endParaRPr lang="en-US" sz="900"/>
        </a:p>
      </xdr:txBody>
    </xdr:sp>
    <xdr:clientData/>
  </xdr:twoCellAnchor>
  <xdr:twoCellAnchor>
    <xdr:from>
      <xdr:col>9</xdr:col>
      <xdr:colOff>86180</xdr:colOff>
      <xdr:row>0</xdr:row>
      <xdr:rowOff>0</xdr:rowOff>
    </xdr:from>
    <xdr:to>
      <xdr:col>11</xdr:col>
      <xdr:colOff>63501</xdr:colOff>
      <xdr:row>5</xdr:row>
      <xdr:rowOff>181429</xdr:rowOff>
    </xdr:to>
    <xdr:graphicFrame macro="">
      <xdr:nvGraphicFramePr>
        <xdr:cNvPr id="70" name="Chart 69">
          <a:extLst>
            <a:ext uri="{FF2B5EF4-FFF2-40B4-BE49-F238E27FC236}">
              <a16:creationId xmlns:a16="http://schemas.microsoft.com/office/drawing/2014/main" id="{DF89CF3E-3D8D-4B50-9B46-85906D1DF6F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9</xdr:col>
      <xdr:colOff>351979</xdr:colOff>
      <xdr:row>5</xdr:row>
      <xdr:rowOff>79830</xdr:rowOff>
    </xdr:from>
    <xdr:to>
      <xdr:col>10</xdr:col>
      <xdr:colOff>589649</xdr:colOff>
      <xdr:row>6</xdr:row>
      <xdr:rowOff>48080</xdr:rowOff>
    </xdr:to>
    <xdr:sp macro="" textlink="">
      <xdr:nvSpPr>
        <xdr:cNvPr id="8" name="TextBox 7">
          <a:extLst>
            <a:ext uri="{FF2B5EF4-FFF2-40B4-BE49-F238E27FC236}">
              <a16:creationId xmlns:a16="http://schemas.microsoft.com/office/drawing/2014/main" id="{A342D8EF-F1AE-4CD8-96C0-ED4309E63A25}"/>
            </a:ext>
          </a:extLst>
        </xdr:cNvPr>
        <xdr:cNvSpPr txBox="1"/>
      </xdr:nvSpPr>
      <xdr:spPr>
        <a:xfrm>
          <a:off x="5822050" y="1009651"/>
          <a:ext cx="845456" cy="1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700" baseline="0"/>
            <a:t>Gender wise analysis</a:t>
          </a:r>
        </a:p>
        <a:p>
          <a:endParaRPr lang="en-US" sz="700" baseline="0"/>
        </a:p>
        <a:p>
          <a:endParaRPr lang="en-US" sz="900"/>
        </a:p>
      </xdr:txBody>
    </xdr:sp>
    <xdr:clientData/>
  </xdr:twoCellAnchor>
  <xdr:twoCellAnchor>
    <xdr:from>
      <xdr:col>7</xdr:col>
      <xdr:colOff>145151</xdr:colOff>
      <xdr:row>6</xdr:row>
      <xdr:rowOff>49893</xdr:rowOff>
    </xdr:from>
    <xdr:to>
      <xdr:col>11</xdr:col>
      <xdr:colOff>95250</xdr:colOff>
      <xdr:row>16</xdr:row>
      <xdr:rowOff>1</xdr:rowOff>
    </xdr:to>
    <xdr:graphicFrame macro="">
      <xdr:nvGraphicFramePr>
        <xdr:cNvPr id="13" name="Chart 12">
          <a:extLst>
            <a:ext uri="{FF2B5EF4-FFF2-40B4-BE49-F238E27FC236}">
              <a16:creationId xmlns:a16="http://schemas.microsoft.com/office/drawing/2014/main" id="{4092B88E-7917-4E73-845C-46AF1F0E7B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9078</xdr:colOff>
      <xdr:row>16</xdr:row>
      <xdr:rowOff>18143</xdr:rowOff>
    </xdr:from>
    <xdr:to>
      <xdr:col>10</xdr:col>
      <xdr:colOff>344714</xdr:colOff>
      <xdr:row>16</xdr:row>
      <xdr:rowOff>181429</xdr:rowOff>
    </xdr:to>
    <xdr:sp macro="" textlink="">
      <xdr:nvSpPr>
        <xdr:cNvPr id="15" name="TextBox 14">
          <a:extLst>
            <a:ext uri="{FF2B5EF4-FFF2-40B4-BE49-F238E27FC236}">
              <a16:creationId xmlns:a16="http://schemas.microsoft.com/office/drawing/2014/main" id="{A6EEDB6A-5890-4A0A-8210-680761D9B55B}"/>
            </a:ext>
          </a:extLst>
        </xdr:cNvPr>
        <xdr:cNvSpPr txBox="1"/>
      </xdr:nvSpPr>
      <xdr:spPr>
        <a:xfrm>
          <a:off x="4871364" y="2998107"/>
          <a:ext cx="1551207" cy="1632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US" sz="800" b="1"/>
            <a:t>No.</a:t>
          </a:r>
          <a:r>
            <a:rPr lang="en-US" sz="800" b="1" baseline="0"/>
            <a:t> of Patient by Department Referal</a:t>
          </a:r>
          <a:endParaRPr lang="en-US" sz="900"/>
        </a:p>
      </xdr:txBody>
    </xdr:sp>
    <xdr:clientData/>
  </xdr:twoCellAnchor>
  <xdr:twoCellAnchor editAs="oneCell">
    <xdr:from>
      <xdr:col>4</xdr:col>
      <xdr:colOff>551546</xdr:colOff>
      <xdr:row>0</xdr:row>
      <xdr:rowOff>54428</xdr:rowOff>
    </xdr:from>
    <xdr:to>
      <xdr:col>6</xdr:col>
      <xdr:colOff>508000</xdr:colOff>
      <xdr:row>2</xdr:row>
      <xdr:rowOff>172357</xdr:rowOff>
    </xdr:to>
    <mc:AlternateContent xmlns:mc="http://schemas.openxmlformats.org/markup-compatibility/2006">
      <mc:Choice xmlns:a14="http://schemas.microsoft.com/office/drawing/2010/main" Requires="a14">
        <xdr:graphicFrame macro="">
          <xdr:nvGraphicFramePr>
            <xdr:cNvPr id="17" name="Date (Year)">
              <a:extLst>
                <a:ext uri="{FF2B5EF4-FFF2-40B4-BE49-F238E27FC236}">
                  <a16:creationId xmlns:a16="http://schemas.microsoft.com/office/drawing/2014/main" id="{29B7A52C-8040-4429-A128-B925B50923FF}"/>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2988294" y="54428"/>
              <a:ext cx="1174828" cy="4896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0</xdr:col>
      <xdr:colOff>514350</xdr:colOff>
      <xdr:row>1</xdr:row>
      <xdr:rowOff>158750</xdr:rowOff>
    </xdr:from>
    <xdr:to>
      <xdr:col>12</xdr:col>
      <xdr:colOff>527050</xdr:colOff>
      <xdr:row>18</xdr:row>
      <xdr:rowOff>31750</xdr:rowOff>
    </xdr:to>
    <xdr:graphicFrame macro="">
      <xdr:nvGraphicFramePr>
        <xdr:cNvPr id="2" name="Chart 1">
          <a:extLst>
            <a:ext uri="{FF2B5EF4-FFF2-40B4-BE49-F238E27FC236}">
              <a16:creationId xmlns:a16="http://schemas.microsoft.com/office/drawing/2014/main" id="{71147006-95F8-4D1E-AA95-1ED4FD8D4B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546100</xdr:colOff>
      <xdr:row>2</xdr:row>
      <xdr:rowOff>6350</xdr:rowOff>
    </xdr:from>
    <xdr:to>
      <xdr:col>1</xdr:col>
      <xdr:colOff>444500</xdr:colOff>
      <xdr:row>4</xdr:row>
      <xdr:rowOff>139700</xdr:rowOff>
    </xdr:to>
    <xdr:pic>
      <xdr:nvPicPr>
        <xdr:cNvPr id="4" name="Graphic 3" descr="Home with solid fill">
          <a:hlinkClick xmlns:r="http://schemas.openxmlformats.org/officeDocument/2006/relationships" r:id="rId2"/>
          <a:extLst>
            <a:ext uri="{FF2B5EF4-FFF2-40B4-BE49-F238E27FC236}">
              <a16:creationId xmlns:a16="http://schemas.microsoft.com/office/drawing/2014/main" id="{476E9BA6-CEE0-1B27-9F0F-79B698A806F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6100" y="374650"/>
          <a:ext cx="508000" cy="5016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1</xdr:col>
      <xdr:colOff>57150</xdr:colOff>
      <xdr:row>3</xdr:row>
      <xdr:rowOff>76201</xdr:rowOff>
    </xdr:from>
    <xdr:to>
      <xdr:col>14</xdr:col>
      <xdr:colOff>514350</xdr:colOff>
      <xdr:row>23</xdr:row>
      <xdr:rowOff>95251</xdr:rowOff>
    </xdr:to>
    <xdr:graphicFrame macro="">
      <xdr:nvGraphicFramePr>
        <xdr:cNvPr id="4" name="Chart 3">
          <a:extLst>
            <a:ext uri="{FF2B5EF4-FFF2-40B4-BE49-F238E27FC236}">
              <a16:creationId xmlns:a16="http://schemas.microsoft.com/office/drawing/2014/main" id="{185EF068-9D09-4C70-9669-58824C882B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0.06136</cdr:x>
      <cdr:y>0.10635</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3372CD6D-6A07-0A27-523C-634C4641C31E}"/>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514350" cy="39369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45254627" backgroundQuery="1" createdVersion="8" refreshedVersion="8" minRefreshableVersion="3" recordCount="0" supportSubquery="1" supportAdvancedDrill="1" xr:uid="{D8E129EB-B945-4F64-818D-39CBE8C97CB0}">
  <cacheSource type="external" connectionId="3"/>
  <cacheFields count="3">
    <cacheField name="[Measures].[Distinct Count of Patient Id]" caption="Distinct Count of Patient Id" numFmtId="0" hierarchy="23"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45833335" backgroundQuery="1" createdVersion="8" refreshedVersion="8" minRefreshableVersion="3" recordCount="0" supportSubquery="1" supportAdvancedDrill="1" xr:uid="{9D94F877-5CFE-467F-900E-10A20CC68C44}">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6" level="1">
      <sharedItems count="2">
        <s v="Delay"/>
        <s v="Ontime"/>
      </sharedItems>
    </cacheField>
    <cacheField name="[Measures].[Count of Patient Attend Status]" caption="Count of Patient Attend Status" numFmtId="0" hierarchy="31"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4733796" backgroundQuery="1" createdVersion="8" refreshedVersion="8" minRefreshableVersion="3" recordCount="0" supportSubquery="1" supportAdvancedDrill="1" xr:uid="{E516299E-E574-47DB-8284-AA8BC0A41CC3}">
  <cacheSource type="external" connectionId="3"/>
  <cacheFields count="4">
    <cacheField name="[Calender_Table].[Date (Month)].[Date (Month)]" caption="Date (Month)" numFmtId="0" hierarchy="1" level="1">
      <sharedItems containsSemiMixedTypes="0" containsNonDate="0" containsString="0"/>
    </cacheField>
    <cacheField name="[Hospital Emergency Room Data].[Patient Gender].[Patient Gender]" caption="Patient Gender" numFmtId="0" hierarchy="8" level="1">
      <sharedItems count="2">
        <s v="Female"/>
        <s v="Male"/>
      </sharedItems>
    </cacheField>
    <cacheField name="[Measures].[Count of Patient Gender]" caption="Count of Patient Gender" numFmtId="0" hierarchy="32"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48148145" backgroundQuery="1" createdVersion="8" refreshedVersion="8" minRefreshableVersion="3" recordCount="0" supportSubquery="1" supportAdvancedDrill="1" xr:uid="{64607341-EF75-4FFC-97F0-95097FF9141A}">
  <cacheSource type="external" connectionId="3"/>
  <cacheFields count="3">
    <cacheField name="[Measures].[Average of Patient Waittime]" caption="Average of Patient Waittime" numFmtId="0" hierarchy="25"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48263891" backgroundQuery="1" createdVersion="8" refreshedVersion="8" minRefreshableVersion="3" recordCount="0" supportSubquery="1" supportAdvancedDrill="1" xr:uid="{0A4973CF-D2FB-42B9-A2F4-9568622A0EE0}">
  <cacheSource type="external" connectionId="3"/>
  <cacheFields count="3">
    <cacheField name="[Measures].[Average of Patient Satisfaction Score]" caption="Average of Patient Satisfaction Score" numFmtId="0" hierarchy="27" level="32767"/>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2"/>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48842591" backgroundQuery="1" createdVersion="8" refreshedVersion="8" minRefreshableVersion="3" recordCount="0" supportSubquery="1" supportAdvancedDrill="1" xr:uid="{C53953C3-ACF8-4A68-A144-9EBD3D4CC550}">
  <cacheSource type="external" connectionId="3"/>
  <cacheFields count="4">
    <cacheField name="[Measures].[Distinct Count of Patient Id]" caption="Distinct Count of Patient Id" numFmtId="0" hierarchy="23" level="32767"/>
    <cacheField name="[Calender_Table].[Date (Day)].[Date (Day)]" caption="Date (Day)" numFmtId="0" hierarchy="2" level="1">
      <sharedItems count="27">
        <s v="1-Feb"/>
        <s v="2-Feb"/>
        <s v="3-Feb"/>
        <s v="4-Feb"/>
        <s v="5-Feb"/>
        <s v="6-Feb"/>
        <s v="7-Feb"/>
        <s v="8-Feb"/>
        <s v="9-Feb"/>
        <s v="10-Feb"/>
        <s v="13-Feb"/>
        <s v="14-Feb"/>
        <s v="15-Feb"/>
        <s v="16-Feb"/>
        <s v="17-Feb"/>
        <s v="18-Feb"/>
        <s v="19-Feb"/>
        <s v="20-Feb"/>
        <s v="21-Feb"/>
        <s v="22-Feb"/>
        <s v="23-Feb"/>
        <s v="24-Feb"/>
        <s v="25-Feb"/>
        <s v="26-Feb"/>
        <s v="27-Feb"/>
        <s v="28-Feb"/>
        <s v="29-Feb"/>
      </sharedItems>
    </cacheField>
    <cacheField name="[Calender_Table].[Date (Month)].[Date (Month)]" caption="Date (Month)" numFmtId="0" hierarchy="1" level="1">
      <sharedItems containsSemiMixedTypes="0" containsNonDate="0" containsString="0"/>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2"/>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1"/>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49652776" backgroundQuery="1" createdVersion="8" refreshedVersion="8" minRefreshableVersion="3" recordCount="0" supportSubquery="1" supportAdvancedDrill="1" xr:uid="{7D465E2A-A0AC-45B9-ACF9-3B4034E02281}">
  <cacheSource type="external" connectionId="3"/>
  <cacheFields count="4">
    <cacheField name="[Calender_Table].[Date (Day)].[Date (Day)]" caption="Date (Day)" numFmtId="0" hierarchy="2" level="1">
      <sharedItems count="28">
        <s v="1-Feb"/>
        <s v="2-Feb"/>
        <s v="3-Feb"/>
        <s v="4-Feb"/>
        <s v="5-Feb"/>
        <s v="6-Feb"/>
        <s v="7-Feb"/>
        <s v="8-Feb"/>
        <s v="9-Feb"/>
        <s v="10-Feb"/>
        <s v="13-Feb"/>
        <s v="14-Feb"/>
        <s v="15-Feb"/>
        <s v="16-Feb"/>
        <s v="17-Feb"/>
        <s v="18-Feb"/>
        <s v="19-Feb"/>
        <s v="20-Feb"/>
        <s v="21-Feb"/>
        <s v="22-Feb"/>
        <s v="23-Feb"/>
        <s v="24-Feb"/>
        <s v="25-Feb"/>
        <s v="26-Feb"/>
        <s v="27-Feb"/>
        <s v="28-Feb"/>
        <s v="29-Feb"/>
        <s v="14-May" u="1"/>
      </sharedItems>
    </cacheField>
    <cacheField name="[Calender_Table].[Date (Month)].[Date (Month)]" caption="Date (Month)" numFmtId="0" hierarchy="1" level="1">
      <sharedItems containsSemiMixedTypes="0" containsNonDate="0" containsString="0"/>
    </cacheField>
    <cacheField name="[Measures].[Average of Patient Waittime]" caption="Average of Patient Waittime" numFmtId="0" hierarchy="25"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50462962" backgroundQuery="1" createdVersion="8" refreshedVersion="8" minRefreshableVersion="3" recordCount="0" supportSubquery="1" supportAdvancedDrill="1" xr:uid="{B5AB7F22-88FB-4542-A905-55D06359C4BA}">
  <cacheSource type="external" connectionId="3"/>
  <cacheFields count="4">
    <cacheField name="[Calende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1"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51851855" backgroundQuery="1" createdVersion="8" refreshedVersion="8" minRefreshableVersion="3" recordCount="0" supportSubquery="1" supportAdvancedDrill="1" xr:uid="{577840E6-8DEF-4D2A-BB53-7C2AF511CFF5}">
  <cacheSource type="external" connectionId="3"/>
  <cacheFields count="4">
    <cacheField name="[Calender_Table].[Date (Day)].[Date (Day)]" caption="Date (Day)" numFmtId="0" hierarchy="2" level="1">
      <sharedItems count="26">
        <s v="1-Feb"/>
        <s v="2-Feb"/>
        <s v="3-Feb"/>
        <s v="4-Feb"/>
        <s v="5-Feb"/>
        <s v="6-Feb"/>
        <s v="7-Feb"/>
        <s v="8-Feb"/>
        <s v="9-Feb"/>
        <s v="10-Feb"/>
        <s v="13-Feb"/>
        <s v="14-Feb"/>
        <s v="15-Feb"/>
        <s v="16-Feb"/>
        <s v="17-Feb"/>
        <s v="18-Feb"/>
        <s v="19-Feb"/>
        <s v="20-Feb"/>
        <s v="21-Feb"/>
        <s v="22-Feb"/>
        <s v="23-Feb"/>
        <s v="24-Feb"/>
        <s v="25-Feb"/>
        <s v="27-Feb"/>
        <s v="28-Feb"/>
        <s v="29-Feb"/>
      </sharedItems>
    </cacheField>
    <cacheField name="[Calende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7" level="32767"/>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1"/>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fieldsUsage count="2">
        <fieldUsage x="-1"/>
        <fieldUsage x="0"/>
      </fieldsUsage>
    </cacheHierarchy>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5219907" backgroundQuery="1" createdVersion="8" refreshedVersion="8" minRefreshableVersion="3" recordCount="0" supportSubquery="1" supportAdvancedDrill="1" xr:uid="{CD6C0D67-28B7-41F7-8E14-BFACBF6318B3}">
  <cacheSource type="external" connectionId="3"/>
  <cacheFields count="5">
    <cacheField name="[Calende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2" level="1">
      <sharedItems count="2">
        <s v="Admitted"/>
        <s v="Not Admitted"/>
      </sharedItems>
    </cacheField>
    <cacheField name="[Measures].[Count of Patient Admission Flag]" caption="Count of Patient Admission Flag" numFmtId="0" hierarchy="29" level="32767"/>
    <cacheField name="[Calende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5324074" backgroundQuery="1" createdVersion="8" refreshedVersion="8" minRefreshableVersion="3" recordCount="0" supportSubquery="1" supportAdvancedDrill="1" xr:uid="{E66BA0F6-3C4B-4B35-8F4A-807B373830D2}">
  <cacheSource type="external" connectionId="3"/>
  <cacheFields count="4">
    <cacheField name="[Calende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5" level="1">
      <sharedItems count="8">
        <s v="0-09"/>
        <s v="10-09"/>
        <s v="20-29"/>
        <s v="30-39"/>
        <s v="40-49"/>
        <s v="50-59"/>
        <s v="60-69"/>
        <s v="70-79"/>
      </sharedItems>
    </cacheField>
    <cacheField name="[Calender_Table].[Date (Year)].[Date (Year)]" caption="Date (Year)" numFmtId="0" hierarchy="3" level="1">
      <sharedItems containsSemiMixedTypes="0" containsNonDate="0" containsString="0"/>
    </cacheField>
  </cacheFields>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6454166664" backgroundQuery="1" createdVersion="8" refreshedVersion="8" minRefreshableVersion="3" recordCount="0" supportSubquery="1" supportAdvancedDrill="1" xr:uid="{DE48A742-8390-40F0-8782-87648F148393}">
  <cacheSource type="external" connectionId="3"/>
  <cacheFields count="4">
    <cacheField name="[Calender_Table].[Date (Month)].[Date (Month)]" caption="Date (Month)" numFmtId="0" hierarchy="1" level="1">
      <sharedItems count="1">
        <s v="Feb"/>
      </sharedItems>
    </cacheField>
    <cacheField name="[Calender_Table].[Date].[Date]" caption="Date" numFmtId="0" level="1">
      <sharedItems containsSemiMixedTypes="0" containsNonDate="0" containsDate="1" containsString="0" minDate="2023-02-01T00:00:00" maxDate="2024-03-01T00:00:00" count="57">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sharedItems>
    </cacheField>
    <cacheField name="[Calender_Table].[Date (Quarter)].[Date (Quarter)]" caption="Date (Quarter)" numFmtId="0" hierarchy="4" level="1">
      <sharedItems count="1">
        <s v="Qtr1"/>
      </sharedItems>
    </cacheField>
    <cacheField name="[Calender_Table].[Date (Year)].[Date (Year)]" caption="Date (Year)" numFmtId="0" hierarchy="3" level="1">
      <sharedItems count="1">
        <s v="2024"/>
      </sharedItems>
    </cacheField>
  </cacheFields>
  <cacheHierarchies count="34">
    <cacheHierarchy uniqueName="[Calender_Table].[Date]" caption="Date" attribute="1" time="1" defaultMemberUniqueName="[Calender_Table].[Date].[All]" allUniqueName="[Calender_Table].[Date].[All]" dimensionUniqueName="[Calender_Table]" displayFolder="" count="2" memberValueDatatype="7" unbalanced="0">
      <fieldsUsage count="2">
        <fieldUsage x="-1"/>
        <fieldUsage x="1"/>
      </fieldsUsage>
    </cacheHierarchy>
    <cacheHierarchy uniqueName="[Calender_Table].[Date (Month)]" caption="Date (Month)" attribute="1" defaultMemberUniqueName="[Calender_Table].[Date (Month)].[All]" allUniqueName="[Calender_Table].[Date (Month)].[All]" dimensionUniqueName="[Calender_Table]" displayFolder="" count="2" memberValueDatatype="130" unbalanced="0">
      <fieldsUsage count="2">
        <fieldUsage x="-1"/>
        <fieldUsage x="0"/>
      </fieldsUsage>
    </cacheHierarchy>
    <cacheHierarchy uniqueName="[Calender_Table].[Date (Day)]" caption="Date (Day)" attribute="1" defaultMemberUniqueName="[Calender_Table].[Date (Day)].[All]" allUniqueName="[Calender_Table].[Date (Day)].[All]" dimensionUniqueName="[Calender_Table]" displayFolder="" count="2"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fieldsUsage count="2">
        <fieldUsage x="-1"/>
        <fieldUsage x="3"/>
      </fieldsUsage>
    </cacheHierarchy>
    <cacheHierarchy uniqueName="[Calender_Table].[Date (Quarter)]" caption="Date (Quarter)" attribute="1" defaultMemberUniqueName="[Calender_Table].[Date (Quarter)].[All]" allUniqueName="[Calender_Table].[Date (Quarter)].[All]" dimensionUniqueName="[Calende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er_Table].[Date (Day Index)]" caption="Date (Day Index)" attribute="1" defaultMemberUniqueName="[Calender_Table].[Date (Day Index)].[All]" allUniqueName="[Calender_Table].[Date (Day Index)].[All]" dimensionUniqueName="[Calender_Table]" displayFolder="" count="2"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omePC" refreshedDate="46014.782622222221" backgroundQuery="1" createdVersion="3" refreshedVersion="8" minRefreshableVersion="3" recordCount="0" supportSubquery="1" supportAdvancedDrill="1" xr:uid="{2C8DE82F-6701-4FD6-A01B-D7D94B0B430E}">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er_Table].[Date]" caption="Date" attribute="1" time="1" defaultMemberUniqueName="[Calender_Table].[Date].[All]" allUniqueName="[Calender_Table].[Date].[All]" dimensionUniqueName="[Calender_Table]" displayFolder="" count="0" memberValueDatatype="7" unbalanced="0"/>
    <cacheHierarchy uniqueName="[Calender_Table].[Date (Month)]" caption="Date (Month)" attribute="1" defaultMemberUniqueName="[Calender_Table].[Date (Month)].[All]" allUniqueName="[Calender_Table].[Date (Month)].[All]" dimensionUniqueName="[Calender_Table]" displayFolder="" count="2" memberValueDatatype="130" unbalanced="0"/>
    <cacheHierarchy uniqueName="[Calender_Table].[Date (Day)]" caption="Date (Day)" attribute="1" defaultMemberUniqueName="[Calender_Table].[Date (Day)].[All]" allUniqueName="[Calender_Table].[Date (Day)].[All]" dimensionUniqueName="[Calender_Table]" displayFolder="" count="0" memberValueDatatype="130" unbalanced="0"/>
    <cacheHierarchy uniqueName="[Calender_Table].[Date (Year)]" caption="Date (Year)" attribute="1" defaultMemberUniqueName="[Calender_Table].[Date (Year)].[All]" allUniqueName="[Calender_Table].[Date (Year)].[All]" dimensionUniqueName="[Calender_Table]" displayFolder="" count="2" memberValueDatatype="130" unbalanced="0"/>
    <cacheHierarchy uniqueName="[Calender_Table].[Date (Quarter)]" caption="Date (Quarter)" attribute="1" defaultMemberUniqueName="[Calender_Table].[Date (Quarter)].[All]" allUniqueName="[Calender_Table].[Date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er_Table].[Date (Day Index)]" caption="Date (Day Index)" attribute="1" defaultMemberUniqueName="[Calender_Table].[Date (Day Index)].[All]" allUniqueName="[Calender_Table].[Date (Day Index)].[All]" dimensionUniqueName="[Calender_Table]" displayFolder="" count="0" memberValueDatatype="5" unbalanced="0" hidden="1"/>
    <cacheHierarchy uniqueName="[Calender_Table].[Date (Month Index)]" caption="Date (Month Index)" attribute="1" defaultMemberUniqueName="[Calender_Table].[Date (Month Index)].[All]" allUniqueName="[Calender_Table].[Date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Patient Admission Date]" caption="Count of Patient Admission Date" measure="1" displayFolder="" measureGroup="Hospital Emergency Room Data" count="0" hidden="1">
      <extLst>
        <ext xmlns:x15="http://schemas.microsoft.com/office/spreadsheetml/2010/11/main" uri="{B97F6D7D-B522-45F9-BDA1-12C45D357490}">
          <x15:cacheHierarchy aggregatedColumn="6"/>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8"/>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2200907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64F4B4E-BB1E-444A-9183-35277264E91B}" name="PivotTable12" cacheId="189" applyNumberFormats="0" applyBorderFormats="0" applyFontFormats="0" applyPatternFormats="0" applyAlignmentFormats="0" applyWidthHeightFormats="1" dataCaption="Values" tag="b414b5a2-107e-496b-b2bc-9f636434bd56" updatedVersion="8" minRefreshableVersion="3" useAutoFormatting="1" subtotalHiddenItems="1" itemPrintTitles="1" createdVersion="8" indent="0" outline="1" outlineData="1" multipleFieldFilters="0" chartFormat="17">
  <location ref="L43:L45"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5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10">
      <pivotArea outline="0" collapsedLevelsAreSubtotals="1" fieldPosition="0"/>
    </format>
  </formats>
  <pivotHierarchies count="34">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C4F720F-D76A-443F-93EE-97FB6977D804}" name="PivotTable6" cacheId="180" applyNumberFormats="0" applyBorderFormats="0" applyFontFormats="0" applyPatternFormats="0" applyAlignmentFormats="0" applyWidthHeightFormats="1" dataCaption="Values" tag="b414b5a2-107e-496b-b2bc-9f636434bd56" updatedVersion="8" minRefreshableVersion="3" useAutoFormatting="1" subtotalHiddenItems="1" itemPrintTitles="1" createdVersion="8" indent="0" outline="1" outlineData="1" multipleFieldFilters="0" chartFormat="17">
  <location ref="I36:J45"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3"/>
    </i>
    <i>
      <x/>
    </i>
    <i>
      <x v="7"/>
    </i>
    <i>
      <x v="1"/>
    </i>
    <i>
      <x v="6"/>
    </i>
    <i>
      <x v="5"/>
    </i>
    <i>
      <x v="2"/>
    </i>
    <i>
      <x v="4"/>
    </i>
    <i t="grand">
      <x/>
    </i>
  </rowItems>
  <colItems count="1">
    <i/>
  </colItems>
  <dataFields count="1">
    <dataField name="Count of Department Referral" fld="2" subtotal="count" baseField="0" baseItem="0"/>
  </dataFields>
  <formats count="1">
    <format dxfId="11">
      <pivotArea outline="0" collapsedLevelsAreSubtotals="1" fieldPosition="0"/>
    </format>
  </formats>
  <chartFormats count="1">
    <chartFormat chart="1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9C68AE-CB42-4C07-ACED-F7D987692DF6}" name="PivotTable11" cacheId="170" applyNumberFormats="0" applyBorderFormats="0" applyFontFormats="0" applyPatternFormats="0" applyAlignmentFormats="0" applyWidthHeightFormats="1" dataCaption="Values" tag="b414b5a2-107e-496b-b2bc-9f636434bd56" updatedVersion="8" minRefreshableVersion="3" useAutoFormatting="1" subtotalHiddenItems="1" itemPrintTitles="1" createdVersion="8" indent="0" outline="1" outlineData="1" multipleFieldFilters="0" chartFormat="13">
  <location ref="O35:P38"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12">
      <pivotArea outline="0" collapsedLevelsAreSubtotals="1" fieldPosition="0"/>
    </format>
  </formats>
  <chartFormats count="7">
    <chartFormat chart="10" format="0" series="1">
      <pivotArea type="data" outline="0" fieldPosition="0">
        <references count="1">
          <reference field="4294967294" count="1" selected="0">
            <x v="0"/>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1" count="1" selected="0">
            <x v="0"/>
          </reference>
        </references>
      </pivotArea>
    </chartFormat>
    <chartFormat chart="11" format="3">
      <pivotArea type="data" outline="0" fieldPosition="0">
        <references count="2">
          <reference field="4294967294" count="1" selected="0">
            <x v="0"/>
          </reference>
          <reference field="1" count="1" selected="0">
            <x v="1"/>
          </reference>
        </references>
      </pivotArea>
    </chartFormat>
    <chartFormat chart="12" format="4" series="1">
      <pivotArea type="data" outline="0" fieldPosition="0">
        <references count="1">
          <reference field="4294967294" count="1" selected="0">
            <x v="0"/>
          </reference>
        </references>
      </pivotArea>
    </chartFormat>
    <chartFormat chart="12" format="5">
      <pivotArea type="data" outline="0" fieldPosition="0">
        <references count="2">
          <reference field="4294967294" count="1" selected="0">
            <x v="0"/>
          </reference>
          <reference field="1" count="1" selected="0">
            <x v="0"/>
          </reference>
        </references>
      </pivotArea>
    </chartFormat>
    <chartFormat chart="12"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2AD7DD-5B5E-4D38-9CB5-DBDC62603D3F}" name="PivotTable5" cacheId="178" applyNumberFormats="0" applyBorderFormats="0" applyFontFormats="0" applyPatternFormats="0" applyAlignmentFormats="0" applyWidthHeightFormats="1" dataCaption="Values" tag="794e16e2-39a9-4e4a-a873-5379390fb0bb" updatedVersion="8" minRefreshableVersion="3" subtotalHiddenItems="1" itemPrintTitles="1" createdVersion="8" indent="0" outline="1" outlineData="1" multipleFieldFilters="0" chartFormat="22">
  <location ref="I4:J32" firstHeaderRow="1" firstDataRow="1" firstDataCol="1"/>
  <pivotFields count="4">
    <pivotField axis="axisRow" allDrilled="1" subtotalTop="0" showAll="0" dataSourceSort="1" defaultSubtotal="0" defaultAttributeDrillState="1">
      <items count="28">
        <item x="0"/>
        <item x="1"/>
        <item x="2"/>
        <item x="3"/>
        <item x="4"/>
        <item x="5"/>
        <item x="6"/>
        <item x="7"/>
        <item x="8"/>
        <item x="9"/>
        <item x="10"/>
        <item x="11"/>
        <item x="12"/>
        <item x="13"/>
        <item x="14"/>
        <item x="15"/>
        <item x="16"/>
        <item x="17"/>
        <item x="18"/>
        <item x="19"/>
        <item x="20"/>
        <item x="21"/>
        <item x="22"/>
        <item x="23"/>
        <item x="24"/>
        <item x="25"/>
        <item x="26"/>
        <item x="27"/>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Waittime" fld="2" subtotal="average" baseField="0" baseItem="0"/>
  </dataFields>
  <formats count="2">
    <format dxfId="14">
      <pivotArea collapsedLevelsAreSubtotals="1" fieldPosition="0">
        <references count="1">
          <reference field="0" count="0"/>
        </references>
      </pivotArea>
    </format>
    <format dxfId="13">
      <pivotArea grandRow="1" outline="0" collapsedLevelsAreSubtotals="1" fieldPosition="0"/>
    </format>
  </formats>
  <chartFormats count="3">
    <chartFormat chart="10" format="2"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0" format="3">
      <pivotArea type="data" outline="0" fieldPosition="0">
        <references count="2">
          <reference field="4294967294" count="1" selected="0">
            <x v="0"/>
          </reference>
          <reference field="0" count="1" selected="0">
            <x v="27"/>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31F36-58FB-44E3-BE6F-76F74023B268}" name="PivotTable10" cacheId="168" applyNumberFormats="0" applyBorderFormats="0" applyFontFormats="0" applyPatternFormats="0" applyAlignmentFormats="0" applyWidthHeightFormats="1" dataCaption="Values" tag="60ea6acf-006d-4299-b0a0-1e323e283306" updatedVersion="8" minRefreshableVersion="3" useAutoFormatting="1" subtotalHiddenItems="1" itemPrintTitles="1" createdVersion="8" indent="0" outline="1" outlineData="1" multipleFieldFilters="0" chartFormat="10">
  <location ref="L36:M3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6">
      <pivotArea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1" count="1" selected="0">
            <x v="0"/>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D347ADF-9A3D-4D86-B60D-FE168E86844C}" name="PivotTable4" cacheId="176" applyNumberFormats="0" applyBorderFormats="0" applyFontFormats="0" applyPatternFormats="0" applyAlignmentFormats="0" applyWidthHeightFormats="1" dataCaption="Values" tag="c8fa949b-fc8f-4168-9216-ecc3ce7cbea5" updatedVersion="8" minRefreshableVersion="3" subtotalHiddenItems="1" itemPrintTitles="1" createdVersion="8" indent="0" outline="1" outlineData="1" multipleFieldFilters="0" chartFormat="8">
  <location ref="D4:E32" firstHeaderRow="1" firstDataRow="1" firstDataCol="1"/>
  <pivotFields count="4">
    <pivotField dataField="1" subtotalTop="0" showAll="0" defaultSubtotal="0"/>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5ABF38E-3D7D-4168-AF2D-B3E91831C9A9}" name="PivotTable3" cacheId="174" applyNumberFormats="0" applyBorderFormats="0" applyFontFormats="0" applyPatternFormats="0" applyAlignmentFormats="0" applyWidthHeightFormats="1" dataCaption="Values" tag="0b7b2f44-a0b5-4bf9-8e1b-dbbf6918c8a4" updatedVersion="8" minRefreshableVersion="3" itemPrintTitles="1" createdVersion="8" indent="0" outline="1" outlineData="1" multipleFieldFilters="0">
  <location ref="A15:A16"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15">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8A1388F-7549-4BD6-ADE2-AF3EFF61DE93}" name="PivotTable9" cacheId="186" applyNumberFormats="0" applyBorderFormats="0" applyFontFormats="0" applyPatternFormats="0" applyAlignmentFormats="0" applyWidthHeightFormats="1" dataCaption="Values" tag="ebae86a5-7340-47b1-a788-b2eb23b546f3" updatedVersion="8" minRefreshableVersion="3" useAutoFormatting="1" itemPrintTitles="1" createdVersion="8" indent="0" outline="1" outlineData="1" multipleFieldFilters="0" chartFormat="6">
  <location ref="I48:J57"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dataFields>
  <formats count="1">
    <format dxfId="16">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6D8B83E-3B9F-4EA9-8357-6A0EF56A6A26}" name="PivotTable2" cacheId="172" applyNumberFormats="0" applyBorderFormats="0" applyFontFormats="0" applyPatternFormats="0" applyAlignmentFormats="0" applyWidthHeightFormats="1" dataCaption="Values" tag="1b67500f-aa62-485f-a41b-d59c2d7a96d2" updatedVersion="8" minRefreshableVersion="3" itemPrintTitles="1" createdVersion="8" indent="0" outline="1" outlineData="1" multipleFieldFilters="0">
  <location ref="A9:A1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17">
      <pivotArea outline="0" collapsedLevelsAreSubtotals="1" fieldPosition="0"/>
    </format>
  </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273EAB3-513C-490E-ACCA-72958721039A}" name="PivotTable8" cacheId="184" applyNumberFormats="0" applyBorderFormats="0" applyFontFormats="0" applyPatternFormats="0" applyAlignmentFormats="0" applyWidthHeightFormats="1" dataCaption="Values" tag="545d3020-87fb-4ead-a6b4-ba5ce3c3d841" updatedVersion="8" minRefreshableVersion="3" useAutoFormatting="1" itemPrintTitles="1" createdVersion="8" indent="0" outline="1" outlineData="1" multipleFieldFilters="0" chartFormat="3">
  <location ref="A34:C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numFmtId="1"/>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19">
      <pivotArea outline="0" collapsedLevelsAreSubtotals="1" fieldPosition="0"/>
    </format>
    <format dxfId="18">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5">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D376102-4882-44A8-8E08-0E981F0F7B9B}" name="PivotTable1" cacheId="166" applyNumberFormats="0" applyBorderFormats="0" applyFontFormats="0" applyPatternFormats="0" applyAlignmentFormats="0" applyWidthHeightFormats="1" dataCaption="Values" tag="deca9f5d-9e9a-4c47-ad57-e27bbcacd27b" updatedVersion="8" minRefreshableVersion="3" itemPrintTitles="1" createdVersion="8"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AB9894-0E7A-412C-A35C-21151EF16999}" name="PivotTable7" cacheId="182" applyNumberFormats="0" applyBorderFormats="0" applyFontFormats="0" applyPatternFormats="0" applyAlignmentFormats="0" applyWidthHeightFormats="1" dataCaption="Values" tag="6683dce5-27f5-4f97-b345-57fbdd151258" updatedVersion="8" minRefreshableVersion="3" subtotalHiddenItems="1" itemPrintTitles="1" createdVersion="8" indent="0" outline="1" outlineData="1" multipleFieldFilters="0" chartFormat="35">
  <location ref="M4:N31" firstHeaderRow="1" firstDataRow="1" firstDataCol="1"/>
  <pivotFields count="4">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Average of Patient Satisfaction Score" fld="2" subtotal="average" baseField="0" baseItem="0"/>
  </dataFields>
  <formats count="2">
    <format dxfId="21">
      <pivotArea collapsedLevelsAreSubtotals="1" fieldPosition="0">
        <references count="1">
          <reference field="0" count="0"/>
        </references>
      </pivotArea>
    </format>
    <format dxfId="20">
      <pivotArea grandRow="1" outline="0" collapsedLevelsAreSubtotals="1" fieldPosition="0"/>
    </format>
  </formats>
  <chartFormats count="2">
    <chartFormat chart="24" format="2"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er_Table].[Date (Month)].&amp;[Feb]"/>
      </members>
    </pivotHierarchy>
    <pivotHierarchy dragToData="1"/>
    <pivotHierarchy multipleItemSelectionAllowed="1" dragToData="1">
      <members count="1" level="1">
        <member name="[Calende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caption="Count of Patient Id"/>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e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70FDB7C2-5D8E-4736-A43B-4552E95AA55E}" sourceName="[Calender_Table].[Date (Month)]">
  <pivotTables>
    <pivotTable tabId="1" name="PivotTable4"/>
    <pivotTable tabId="1" name="PivotTable1"/>
    <pivotTable tabId="1" name="PivotTable2"/>
    <pivotTable tabId="1" name="PivotTable3"/>
    <pivotTable tabId="1" name="PivotTable5"/>
    <pivotTable tabId="1" name="PivotTable7"/>
    <pivotTable tabId="1" name="PivotTable8"/>
    <pivotTable tabId="1" name="PivotTable9"/>
    <pivotTable tabId="1" name="PivotTable10"/>
    <pivotTable tabId="1" name="PivotTable11"/>
    <pivotTable tabId="1" name="PivotTable6"/>
    <pivotTable tabId="1" name="PivotTable12"/>
  </pivotTables>
  <data>
    <olap pivotCacheId="1220090724">
      <levels count="2">
        <level uniqueName="[Calender_Table].[Date (Month)].[(All)]" sourceCaption="(All)" count="0"/>
        <level uniqueName="[Calender_Table].[Date (Month)].[Date (Month)]" sourceCaption="Date (Month)" count="12">
          <ranges>
            <range startItem="0">
              <i n="[Calender_Table].[Date (Month)].&amp;[Jan]" c="Jan"/>
              <i n="[Calender_Table].[Date (Month)].&amp;[Feb]" c="Feb"/>
              <i n="[Calender_Table].[Date (Month)].&amp;[Mar]" c="Mar"/>
              <i n="[Calender_Table].[Date (Month)].&amp;[Apr]" c="Apr"/>
              <i n="[Calender_Table].[Date (Month)].&amp;[May]" c="May"/>
              <i n="[Calender_Table].[Date (Month)].&amp;[Jun]" c="Jun"/>
              <i n="[Calender_Table].[Date (Month)].&amp;[Jul]" c="Jul"/>
              <i n="[Calender_Table].[Date (Month)].&amp;[Aug]" c="Aug"/>
              <i n="[Calender_Table].[Date (Month)].&amp;[Sep]" c="Sep"/>
              <i n="[Calender_Table].[Date (Month)].&amp;[Oct]" c="Oct"/>
              <i n="[Calender_Table].[Date (Month)].&amp;[Nov]" c="Nov"/>
              <i n="[Calender_Table].[Date (Month)].&amp;[Dec]" c="Dec"/>
            </range>
          </ranges>
        </level>
      </levels>
      <selections count="1">
        <selection n="[Calender_Table].[Date (Month)].&amp;[Feb]"/>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E8736385-BDB3-467B-A25E-0A5A5DA38992}" sourceName="[Calende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220090724">
      <levels count="2">
        <level uniqueName="[Calender_Table].[Date (Year)].[(All)]" sourceCaption="(All)" count="0"/>
        <level uniqueName="[Calender_Table].[Date (Year)].[Date (Year)]" sourceCaption="Date (Year)" count="2">
          <ranges>
            <range startItem="0">
              <i n="[Calender_Table].[Date (Year)].&amp;[2023]" c="2023"/>
              <i n="[Calender_Table].[Date (Year)].&amp;[2024]" c="2024"/>
            </range>
          </ranges>
        </level>
      </levels>
      <selections count="1">
        <selection n="[Calende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53DB4476-DA53-4645-94F6-60D74A3CEC6F}" cache="Slicer_Date__Month" caption="Date (Month)" showCaption="0" level="1" style="my style" rowHeight="274320"/>
  <slicer name="Date (Year)" xr10:uid="{A857387C-765A-4656-B3EF-5005AC061F00}" cache="Slicer_Date__Year" caption="Date (Year)" columnCount="2" showCaption="0" level="1" style="my styl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227BA-0422-452C-B0BD-6730725A3D06}">
  <dimension ref="A3:P57"/>
  <sheetViews>
    <sheetView tabSelected="1" topLeftCell="C1" zoomScale="49" workbookViewId="0">
      <selection activeCell="G31" sqref="G31"/>
    </sheetView>
  </sheetViews>
  <sheetFormatPr defaultRowHeight="14.5" x14ac:dyDescent="0.35"/>
  <cols>
    <col min="1" max="1" width="12.36328125" bestFit="1" customWidth="1"/>
    <col min="2" max="2" width="27.81640625" bestFit="1" customWidth="1"/>
    <col min="3" max="3" width="28.81640625" bestFit="1" customWidth="1"/>
    <col min="4" max="4" width="12.36328125" bestFit="1" customWidth="1"/>
    <col min="5" max="5" width="28.26953125" customWidth="1"/>
    <col min="6" max="6" width="11.26953125" customWidth="1"/>
    <col min="7" max="7" width="12.36328125" bestFit="1" customWidth="1"/>
    <col min="8" max="8" width="19.26953125" customWidth="1"/>
    <col min="9" max="9" width="27" bestFit="1" customWidth="1"/>
    <col min="10" max="10" width="23.81640625" bestFit="1" customWidth="1"/>
    <col min="11" max="11" width="8.7265625" customWidth="1"/>
    <col min="12" max="12" width="14.26953125" bestFit="1" customWidth="1"/>
    <col min="13" max="13" width="28.08984375" bestFit="1" customWidth="1"/>
    <col min="14" max="14" width="24.81640625" bestFit="1" customWidth="1"/>
    <col min="15" max="15" width="21.36328125" customWidth="1"/>
    <col min="16" max="16" width="22.26953125" bestFit="1" customWidth="1"/>
  </cols>
  <sheetData>
    <row r="3" spans="1:14" x14ac:dyDescent="0.35">
      <c r="A3" t="s">
        <v>3</v>
      </c>
      <c r="D3" s="13" t="s">
        <v>34</v>
      </c>
      <c r="E3" s="14"/>
      <c r="I3" s="13" t="s">
        <v>35</v>
      </c>
      <c r="J3" s="14"/>
      <c r="M3" s="13" t="s">
        <v>38</v>
      </c>
      <c r="N3" s="14"/>
    </row>
    <row r="4" spans="1:14" x14ac:dyDescent="0.35">
      <c r="A4" t="s">
        <v>2</v>
      </c>
      <c r="D4" s="1" t="s">
        <v>0</v>
      </c>
      <c r="E4" t="s">
        <v>2</v>
      </c>
      <c r="I4" s="1" t="s">
        <v>0</v>
      </c>
      <c r="J4" t="s">
        <v>4</v>
      </c>
      <c r="M4" s="1" t="s">
        <v>0</v>
      </c>
      <c r="N4" t="s">
        <v>5</v>
      </c>
    </row>
    <row r="5" spans="1:14" x14ac:dyDescent="0.35">
      <c r="A5" s="20">
        <v>434</v>
      </c>
      <c r="D5" s="2" t="s">
        <v>6</v>
      </c>
      <c r="E5" s="20">
        <v>14</v>
      </c>
      <c r="I5" s="2" t="s">
        <v>6</v>
      </c>
      <c r="J5" s="4">
        <v>38.214285714285715</v>
      </c>
      <c r="M5" s="2" t="s">
        <v>6</v>
      </c>
      <c r="N5" s="4">
        <v>3.5</v>
      </c>
    </row>
    <row r="6" spans="1:14" x14ac:dyDescent="0.35">
      <c r="D6" s="2" t="s">
        <v>7</v>
      </c>
      <c r="E6" s="20">
        <v>10</v>
      </c>
      <c r="I6" s="2" t="s">
        <v>7</v>
      </c>
      <c r="J6" s="4">
        <v>45.4</v>
      </c>
      <c r="M6" s="2" t="s">
        <v>7</v>
      </c>
      <c r="N6" s="4">
        <v>5.75</v>
      </c>
    </row>
    <row r="7" spans="1:14" x14ac:dyDescent="0.35">
      <c r="D7" s="2" t="s">
        <v>8</v>
      </c>
      <c r="E7" s="20">
        <v>24</v>
      </c>
      <c r="I7" s="2" t="s">
        <v>8</v>
      </c>
      <c r="J7" s="4">
        <v>33.708333333333336</v>
      </c>
      <c r="M7" s="2" t="s">
        <v>8</v>
      </c>
      <c r="N7" s="4">
        <v>6</v>
      </c>
    </row>
    <row r="8" spans="1:14" x14ac:dyDescent="0.35">
      <c r="D8" s="2" t="s">
        <v>9</v>
      </c>
      <c r="E8" s="20">
        <v>19</v>
      </c>
      <c r="I8" s="2" t="s">
        <v>9</v>
      </c>
      <c r="J8" s="4">
        <v>39.368421052631582</v>
      </c>
      <c r="M8" s="2" t="s">
        <v>9</v>
      </c>
      <c r="N8" s="4">
        <v>4.5999999999999996</v>
      </c>
    </row>
    <row r="9" spans="1:14" x14ac:dyDescent="0.35">
      <c r="A9" t="s">
        <v>4</v>
      </c>
      <c r="D9" s="2" t="s">
        <v>10</v>
      </c>
      <c r="E9" s="20">
        <v>21</v>
      </c>
      <c r="I9" s="2" t="s">
        <v>10</v>
      </c>
      <c r="J9" s="4">
        <v>27</v>
      </c>
      <c r="M9" s="2" t="s">
        <v>10</v>
      </c>
      <c r="N9" s="4">
        <v>5.6</v>
      </c>
    </row>
    <row r="10" spans="1:14" x14ac:dyDescent="0.35">
      <c r="A10" s="4">
        <v>36.140552995391708</v>
      </c>
      <c r="D10" s="2" t="s">
        <v>11</v>
      </c>
      <c r="E10" s="20">
        <v>10</v>
      </c>
      <c r="I10" s="2" t="s">
        <v>11</v>
      </c>
      <c r="J10" s="4">
        <v>38.4</v>
      </c>
      <c r="M10" s="2" t="s">
        <v>11</v>
      </c>
      <c r="N10" s="4">
        <v>5.2</v>
      </c>
    </row>
    <row r="11" spans="1:14" x14ac:dyDescent="0.35">
      <c r="D11" s="2" t="s">
        <v>12</v>
      </c>
      <c r="E11" s="20">
        <v>19</v>
      </c>
      <c r="I11" s="2" t="s">
        <v>12</v>
      </c>
      <c r="J11" s="4">
        <v>30.842105263157894</v>
      </c>
      <c r="M11" s="2" t="s">
        <v>12</v>
      </c>
      <c r="N11" s="4">
        <v>5.333333333333333</v>
      </c>
    </row>
    <row r="12" spans="1:14" x14ac:dyDescent="0.35">
      <c r="D12" s="2" t="s">
        <v>13</v>
      </c>
      <c r="E12" s="20">
        <v>19</v>
      </c>
      <c r="I12" s="2" t="s">
        <v>13</v>
      </c>
      <c r="J12" s="4">
        <v>31.842105263157894</v>
      </c>
      <c r="M12" s="2" t="s">
        <v>13</v>
      </c>
      <c r="N12" s="4">
        <v>4.666666666666667</v>
      </c>
    </row>
    <row r="13" spans="1:14" x14ac:dyDescent="0.35">
      <c r="D13" s="2" t="s">
        <v>14</v>
      </c>
      <c r="E13" s="20">
        <v>17</v>
      </c>
      <c r="I13" s="2" t="s">
        <v>14</v>
      </c>
      <c r="J13" s="4">
        <v>36.941176470588232</v>
      </c>
      <c r="M13" s="2" t="s">
        <v>14</v>
      </c>
      <c r="N13" s="4">
        <v>2.6666666666666665</v>
      </c>
    </row>
    <row r="14" spans="1:14" x14ac:dyDescent="0.35">
      <c r="D14" s="2" t="s">
        <v>15</v>
      </c>
      <c r="E14" s="20">
        <v>11</v>
      </c>
      <c r="I14" s="2" t="s">
        <v>15</v>
      </c>
      <c r="J14" s="4">
        <v>38.545454545454547</v>
      </c>
      <c r="M14" s="2" t="s">
        <v>15</v>
      </c>
      <c r="N14" s="4">
        <v>8</v>
      </c>
    </row>
    <row r="15" spans="1:14" x14ac:dyDescent="0.35">
      <c r="A15" t="s">
        <v>5</v>
      </c>
      <c r="D15" s="2" t="s">
        <v>16</v>
      </c>
      <c r="E15" s="20">
        <v>9</v>
      </c>
      <c r="I15" s="2" t="s">
        <v>16</v>
      </c>
      <c r="J15" s="4">
        <v>38.777777777777779</v>
      </c>
      <c r="M15" s="2" t="s">
        <v>16</v>
      </c>
      <c r="N15" s="4">
        <v>5.75</v>
      </c>
    </row>
    <row r="16" spans="1:14" x14ac:dyDescent="0.35">
      <c r="A16" s="4">
        <v>4.7807017543859649</v>
      </c>
      <c r="D16" s="2" t="s">
        <v>17</v>
      </c>
      <c r="E16" s="20">
        <v>19</v>
      </c>
      <c r="I16" s="2" t="s">
        <v>17</v>
      </c>
      <c r="J16" s="4">
        <v>31</v>
      </c>
      <c r="M16" s="2" t="s">
        <v>17</v>
      </c>
      <c r="N16" s="4">
        <v>3.4444444444444446</v>
      </c>
    </row>
    <row r="17" spans="4:14" x14ac:dyDescent="0.35">
      <c r="D17" s="2" t="s">
        <v>18</v>
      </c>
      <c r="E17" s="20">
        <v>14</v>
      </c>
      <c r="I17" s="2" t="s">
        <v>18</v>
      </c>
      <c r="J17" s="4">
        <v>35.928571428571431</v>
      </c>
      <c r="M17" s="2" t="s">
        <v>18</v>
      </c>
      <c r="N17" s="4">
        <v>1.5</v>
      </c>
    </row>
    <row r="18" spans="4:14" x14ac:dyDescent="0.35">
      <c r="D18" s="2" t="s">
        <v>19</v>
      </c>
      <c r="E18" s="20">
        <v>17</v>
      </c>
      <c r="I18" s="2" t="s">
        <v>19</v>
      </c>
      <c r="J18" s="4">
        <v>37.882352941176471</v>
      </c>
      <c r="M18" s="2" t="s">
        <v>19</v>
      </c>
      <c r="N18" s="4">
        <v>3.6666666666666665</v>
      </c>
    </row>
    <row r="19" spans="4:14" x14ac:dyDescent="0.35">
      <c r="D19" s="2" t="s">
        <v>20</v>
      </c>
      <c r="E19" s="20">
        <v>17</v>
      </c>
      <c r="I19" s="2" t="s">
        <v>20</v>
      </c>
      <c r="J19" s="4">
        <v>40.588235294117645</v>
      </c>
      <c r="M19" s="2" t="s">
        <v>20</v>
      </c>
      <c r="N19" s="4">
        <v>4.4285714285714288</v>
      </c>
    </row>
    <row r="20" spans="4:14" x14ac:dyDescent="0.35">
      <c r="D20" s="2" t="s">
        <v>21</v>
      </c>
      <c r="E20" s="20">
        <v>15</v>
      </c>
      <c r="I20" s="2" t="s">
        <v>21</v>
      </c>
      <c r="J20" s="4">
        <v>34.533333333333331</v>
      </c>
      <c r="M20" s="2" t="s">
        <v>21</v>
      </c>
      <c r="N20" s="4">
        <v>6</v>
      </c>
    </row>
    <row r="21" spans="4:14" x14ac:dyDescent="0.35">
      <c r="D21" s="2" t="s">
        <v>22</v>
      </c>
      <c r="E21" s="20">
        <v>9</v>
      </c>
      <c r="I21" s="2" t="s">
        <v>22</v>
      </c>
      <c r="J21" s="4">
        <v>40.333333333333336</v>
      </c>
      <c r="M21" s="2" t="s">
        <v>22</v>
      </c>
      <c r="N21" s="4">
        <v>2.6666666666666665</v>
      </c>
    </row>
    <row r="22" spans="4:14" x14ac:dyDescent="0.35">
      <c r="D22" s="2" t="s">
        <v>23</v>
      </c>
      <c r="E22" s="20">
        <v>14</v>
      </c>
      <c r="I22" s="2" t="s">
        <v>23</v>
      </c>
      <c r="J22" s="4">
        <v>35.285714285714285</v>
      </c>
      <c r="M22" s="2" t="s">
        <v>23</v>
      </c>
      <c r="N22" s="4">
        <v>7.5</v>
      </c>
    </row>
    <row r="23" spans="4:14" x14ac:dyDescent="0.35">
      <c r="D23" s="2" t="s">
        <v>24</v>
      </c>
      <c r="E23" s="20">
        <v>22</v>
      </c>
      <c r="I23" s="2" t="s">
        <v>24</v>
      </c>
      <c r="J23" s="4">
        <v>35.5</v>
      </c>
      <c r="M23" s="2" t="s">
        <v>24</v>
      </c>
      <c r="N23" s="4">
        <v>4.5</v>
      </c>
    </row>
    <row r="24" spans="4:14" x14ac:dyDescent="0.35">
      <c r="D24" s="2" t="s">
        <v>25</v>
      </c>
      <c r="E24" s="20">
        <v>16</v>
      </c>
      <c r="I24" s="2" t="s">
        <v>25</v>
      </c>
      <c r="J24" s="4">
        <v>38.5625</v>
      </c>
      <c r="M24" s="2" t="s">
        <v>25</v>
      </c>
      <c r="N24" s="4">
        <v>8</v>
      </c>
    </row>
    <row r="25" spans="4:14" x14ac:dyDescent="0.35">
      <c r="D25" s="2" t="s">
        <v>26</v>
      </c>
      <c r="E25" s="20">
        <v>22</v>
      </c>
      <c r="I25" s="2" t="s">
        <v>26</v>
      </c>
      <c r="J25" s="4">
        <v>42.727272727272727</v>
      </c>
      <c r="M25" s="2" t="s">
        <v>26</v>
      </c>
      <c r="N25" s="4">
        <v>4.3636363636363633</v>
      </c>
    </row>
    <row r="26" spans="4:14" x14ac:dyDescent="0.35">
      <c r="D26" s="2" t="s">
        <v>27</v>
      </c>
      <c r="E26" s="20">
        <v>12</v>
      </c>
      <c r="I26" s="2" t="s">
        <v>27</v>
      </c>
      <c r="J26" s="4">
        <v>37.416666666666664</v>
      </c>
      <c r="M26" s="2" t="s">
        <v>27</v>
      </c>
      <c r="N26" s="4">
        <v>0</v>
      </c>
    </row>
    <row r="27" spans="4:14" x14ac:dyDescent="0.35">
      <c r="D27" s="2" t="s">
        <v>28</v>
      </c>
      <c r="E27" s="20">
        <v>20</v>
      </c>
      <c r="I27" s="2" t="s">
        <v>28</v>
      </c>
      <c r="J27" s="4">
        <v>32.450000000000003</v>
      </c>
      <c r="M27" s="2" t="s">
        <v>28</v>
      </c>
      <c r="N27" s="4">
        <v>10</v>
      </c>
    </row>
    <row r="28" spans="4:14" x14ac:dyDescent="0.35">
      <c r="D28" s="2" t="s">
        <v>29</v>
      </c>
      <c r="E28" s="20">
        <v>18</v>
      </c>
      <c r="I28" s="2" t="s">
        <v>29</v>
      </c>
      <c r="J28" s="4">
        <v>40.055555555555557</v>
      </c>
      <c r="M28" s="2" t="s">
        <v>30</v>
      </c>
      <c r="N28" s="4">
        <v>6.75</v>
      </c>
    </row>
    <row r="29" spans="4:14" x14ac:dyDescent="0.35">
      <c r="D29" s="2" t="s">
        <v>30</v>
      </c>
      <c r="E29" s="20">
        <v>18</v>
      </c>
      <c r="I29" s="2" t="s">
        <v>30</v>
      </c>
      <c r="J29" s="4">
        <v>31.666666666666668</v>
      </c>
      <c r="M29" s="2" t="s">
        <v>31</v>
      </c>
      <c r="N29" s="4">
        <v>7</v>
      </c>
    </row>
    <row r="30" spans="4:14" x14ac:dyDescent="0.35">
      <c r="D30" s="2" t="s">
        <v>31</v>
      </c>
      <c r="E30" s="20">
        <v>13</v>
      </c>
      <c r="I30" s="2" t="s">
        <v>31</v>
      </c>
      <c r="J30" s="4">
        <v>39.769230769230766</v>
      </c>
      <c r="M30" s="2" t="s">
        <v>32</v>
      </c>
      <c r="N30" s="4">
        <v>3.3333333333333335</v>
      </c>
    </row>
    <row r="31" spans="4:14" x14ac:dyDescent="0.35">
      <c r="D31" s="2" t="s">
        <v>32</v>
      </c>
      <c r="E31" s="20">
        <v>15</v>
      </c>
      <c r="I31" s="2" t="s">
        <v>32</v>
      </c>
      <c r="J31" s="4">
        <v>36.733333333333334</v>
      </c>
      <c r="M31" s="2" t="s">
        <v>1</v>
      </c>
      <c r="N31" s="4">
        <v>4.7807017543859649</v>
      </c>
    </row>
    <row r="32" spans="4:14" x14ac:dyDescent="0.35">
      <c r="D32" s="2" t="s">
        <v>1</v>
      </c>
      <c r="E32" s="20">
        <v>434</v>
      </c>
      <c r="I32" s="2" t="s">
        <v>1</v>
      </c>
      <c r="J32" s="4">
        <v>36.140552995391708</v>
      </c>
    </row>
    <row r="34" spans="1:16" x14ac:dyDescent="0.35">
      <c r="A34" s="1" t="s">
        <v>0</v>
      </c>
      <c r="B34" t="s">
        <v>41</v>
      </c>
      <c r="C34" t="s">
        <v>42</v>
      </c>
      <c r="O34" s="15" t="s">
        <v>60</v>
      </c>
      <c r="P34" s="15"/>
    </row>
    <row r="35" spans="1:16" x14ac:dyDescent="0.35">
      <c r="A35" s="2" t="s">
        <v>39</v>
      </c>
      <c r="B35" s="9">
        <v>224</v>
      </c>
      <c r="C35" s="3">
        <v>0.5161290322580645</v>
      </c>
      <c r="I35" s="21" t="s">
        <v>73</v>
      </c>
      <c r="J35" s="21"/>
      <c r="L35" s="15" t="s">
        <v>59</v>
      </c>
      <c r="M35" s="15"/>
      <c r="O35" s="1" t="s">
        <v>0</v>
      </c>
      <c r="P35" t="s">
        <v>63</v>
      </c>
    </row>
    <row r="36" spans="1:16" x14ac:dyDescent="0.35">
      <c r="A36" s="2" t="s">
        <v>40</v>
      </c>
      <c r="B36" s="9">
        <v>210</v>
      </c>
      <c r="C36" s="3">
        <v>0.4838709677419355</v>
      </c>
      <c r="I36" s="1" t="s">
        <v>0</v>
      </c>
      <c r="J36" t="s">
        <v>72</v>
      </c>
      <c r="L36" s="1" t="s">
        <v>0</v>
      </c>
      <c r="M36" t="s">
        <v>58</v>
      </c>
      <c r="O36" s="2" t="s">
        <v>61</v>
      </c>
      <c r="P36" s="9">
        <v>204</v>
      </c>
    </row>
    <row r="37" spans="1:16" x14ac:dyDescent="0.35">
      <c r="A37" s="2" t="s">
        <v>1</v>
      </c>
      <c r="B37" s="9">
        <v>434</v>
      </c>
      <c r="C37" s="3">
        <v>1</v>
      </c>
      <c r="I37" s="2" t="s">
        <v>67</v>
      </c>
      <c r="J37" s="9">
        <v>7</v>
      </c>
      <c r="L37" s="2" t="s">
        <v>56</v>
      </c>
      <c r="M37" s="9">
        <v>269</v>
      </c>
      <c r="O37" s="2" t="s">
        <v>62</v>
      </c>
      <c r="P37" s="9">
        <v>230</v>
      </c>
    </row>
    <row r="38" spans="1:16" x14ac:dyDescent="0.35">
      <c r="I38" s="2" t="s">
        <v>64</v>
      </c>
      <c r="J38" s="9">
        <v>7</v>
      </c>
      <c r="L38" s="2" t="s">
        <v>57</v>
      </c>
      <c r="M38" s="9">
        <v>165</v>
      </c>
      <c r="O38" s="2" t="s">
        <v>1</v>
      </c>
      <c r="P38" s="9">
        <v>434</v>
      </c>
    </row>
    <row r="39" spans="1:16" x14ac:dyDescent="0.35">
      <c r="I39" s="2" t="s">
        <v>71</v>
      </c>
      <c r="J39" s="9">
        <v>8</v>
      </c>
      <c r="L39" s="2" t="s">
        <v>1</v>
      </c>
      <c r="M39" s="9">
        <v>434</v>
      </c>
    </row>
    <row r="40" spans="1:16" x14ac:dyDescent="0.35">
      <c r="I40" s="2" t="s">
        <v>65</v>
      </c>
      <c r="J40" s="9">
        <v>11</v>
      </c>
    </row>
    <row r="41" spans="1:16" x14ac:dyDescent="0.35">
      <c r="I41" s="2" t="s">
        <v>70</v>
      </c>
      <c r="J41" s="9">
        <v>19</v>
      </c>
    </row>
    <row r="42" spans="1:16" x14ac:dyDescent="0.35">
      <c r="I42" s="2" t="s">
        <v>69</v>
      </c>
      <c r="J42" s="9">
        <v>34</v>
      </c>
      <c r="L42" s="22" t="s">
        <v>75</v>
      </c>
    </row>
    <row r="43" spans="1:16" x14ac:dyDescent="0.35">
      <c r="I43" s="2" t="s">
        <v>66</v>
      </c>
      <c r="J43" s="9">
        <v>83</v>
      </c>
      <c r="L43" s="1" t="s">
        <v>0</v>
      </c>
    </row>
    <row r="44" spans="1:16" x14ac:dyDescent="0.35">
      <c r="I44" s="2" t="s">
        <v>68</v>
      </c>
      <c r="J44" s="9">
        <v>265</v>
      </c>
      <c r="L44" s="2" t="s">
        <v>74</v>
      </c>
    </row>
    <row r="45" spans="1:16" x14ac:dyDescent="0.35">
      <c r="I45" s="2" t="s">
        <v>1</v>
      </c>
      <c r="J45" s="9">
        <v>434</v>
      </c>
      <c r="L45" s="2" t="s">
        <v>1</v>
      </c>
    </row>
    <row r="47" spans="1:16" x14ac:dyDescent="0.35">
      <c r="I47" s="15" t="s">
        <v>55</v>
      </c>
      <c r="J47" s="15"/>
    </row>
    <row r="48" spans="1:16" x14ac:dyDescent="0.35">
      <c r="I48" s="1" t="s">
        <v>0</v>
      </c>
      <c r="J48" t="s">
        <v>46</v>
      </c>
    </row>
    <row r="49" spans="2:10" x14ac:dyDescent="0.35">
      <c r="I49" s="2" t="s">
        <v>47</v>
      </c>
      <c r="J49" s="9">
        <v>42</v>
      </c>
    </row>
    <row r="50" spans="2:10" x14ac:dyDescent="0.35">
      <c r="I50" s="2" t="s">
        <v>48</v>
      </c>
      <c r="J50" s="9">
        <v>60</v>
      </c>
    </row>
    <row r="51" spans="2:10" ht="20.5" customHeight="1" x14ac:dyDescent="0.35">
      <c r="I51" s="2" t="s">
        <v>49</v>
      </c>
      <c r="J51" s="9">
        <v>60</v>
      </c>
    </row>
    <row r="52" spans="2:10" x14ac:dyDescent="0.35">
      <c r="B52" s="11" t="s">
        <v>43</v>
      </c>
      <c r="C52" s="11" t="s">
        <v>45</v>
      </c>
      <c r="D52" s="11" t="s">
        <v>44</v>
      </c>
      <c r="E52" s="12"/>
      <c r="I52" s="2" t="s">
        <v>50</v>
      </c>
      <c r="J52" s="9">
        <v>57</v>
      </c>
    </row>
    <row r="53" spans="2:10" x14ac:dyDescent="0.35">
      <c r="B53" s="7" t="str">
        <f>A36</f>
        <v>Not Admitted</v>
      </c>
      <c r="C53" s="7">
        <f>B36</f>
        <v>210</v>
      </c>
      <c r="D53" s="10">
        <f>C36</f>
        <v>0.4838709677419355</v>
      </c>
      <c r="I53" s="2" t="s">
        <v>51</v>
      </c>
      <c r="J53" s="9">
        <v>59</v>
      </c>
    </row>
    <row r="54" spans="2:10" x14ac:dyDescent="0.35">
      <c r="B54" s="7" t="str">
        <f>A35</f>
        <v>Admitted</v>
      </c>
      <c r="C54" s="7">
        <f>B35</f>
        <v>224</v>
      </c>
      <c r="D54" s="10">
        <f>C35</f>
        <v>0.5161290322580645</v>
      </c>
      <c r="I54" s="2" t="s">
        <v>52</v>
      </c>
      <c r="J54" s="9">
        <v>53</v>
      </c>
    </row>
    <row r="55" spans="2:10" x14ac:dyDescent="0.35">
      <c r="I55" s="2" t="s">
        <v>53</v>
      </c>
      <c r="J55" s="9">
        <v>55</v>
      </c>
    </row>
    <row r="56" spans="2:10" x14ac:dyDescent="0.35">
      <c r="I56" s="2" t="s">
        <v>54</v>
      </c>
      <c r="J56" s="9">
        <v>48</v>
      </c>
    </row>
    <row r="57" spans="2:10" x14ac:dyDescent="0.35">
      <c r="I57" s="2" t="s">
        <v>1</v>
      </c>
      <c r="J57" s="9">
        <v>434</v>
      </c>
    </row>
  </sheetData>
  <mergeCells count="7">
    <mergeCell ref="O34:P34"/>
    <mergeCell ref="I35:J35"/>
    <mergeCell ref="D3:E3"/>
    <mergeCell ref="I3:J3"/>
    <mergeCell ref="M3:N3"/>
    <mergeCell ref="I47:J47"/>
    <mergeCell ref="L35:M35"/>
  </mergeCells>
  <pageMargins left="0.7" right="0.7" top="0.75" bottom="0.75" header="0.3" footer="0.3"/>
  <pageSetup orientation="portrait"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03D8E-0FDC-440B-8F9A-F681EC2D3D9A}">
  <dimension ref="A1:S25"/>
  <sheetViews>
    <sheetView topLeftCell="A2" workbookViewId="0"/>
  </sheetViews>
  <sheetFormatPr defaultRowHeight="14.5" x14ac:dyDescent="0.35"/>
  <sheetData>
    <row r="1" spans="1:19" x14ac:dyDescent="0.35">
      <c r="A1" s="8"/>
      <c r="B1" s="8"/>
      <c r="C1" s="8"/>
      <c r="D1" s="8"/>
      <c r="E1" s="8"/>
      <c r="F1" s="8"/>
      <c r="G1" s="8"/>
      <c r="H1" s="8"/>
      <c r="I1" s="8"/>
      <c r="J1" s="8"/>
      <c r="K1" s="8"/>
      <c r="L1" s="8"/>
      <c r="M1" s="8"/>
      <c r="N1" s="8"/>
      <c r="O1" s="8"/>
      <c r="P1" s="8"/>
      <c r="Q1" s="8"/>
      <c r="R1" s="8"/>
      <c r="S1" s="8"/>
    </row>
    <row r="2" spans="1:19" x14ac:dyDescent="0.35">
      <c r="A2" s="8"/>
      <c r="B2" s="8"/>
      <c r="C2" s="8"/>
      <c r="D2" s="8"/>
      <c r="E2" s="8"/>
      <c r="F2" s="8"/>
      <c r="G2" s="8"/>
      <c r="H2" s="8"/>
      <c r="I2" s="8"/>
      <c r="J2" s="8"/>
      <c r="K2" s="8"/>
      <c r="L2" s="8"/>
      <c r="M2" s="8"/>
      <c r="N2" s="8"/>
      <c r="O2" s="8"/>
      <c r="P2" s="8"/>
      <c r="Q2" s="8"/>
      <c r="R2" s="8"/>
      <c r="S2" s="8"/>
    </row>
    <row r="3" spans="1:19" x14ac:dyDescent="0.35">
      <c r="A3" s="8"/>
      <c r="B3" s="8"/>
      <c r="C3" s="8"/>
      <c r="D3" s="8"/>
      <c r="E3" s="8"/>
      <c r="F3" s="8"/>
      <c r="G3" s="8"/>
      <c r="H3" s="8"/>
      <c r="I3" s="8"/>
      <c r="J3" s="8"/>
      <c r="K3" s="8"/>
      <c r="L3" s="8"/>
      <c r="M3" s="8"/>
      <c r="N3" s="8"/>
      <c r="O3" s="8"/>
      <c r="P3" s="8"/>
      <c r="Q3" s="8"/>
      <c r="R3" s="8"/>
      <c r="S3" s="8"/>
    </row>
    <row r="4" spans="1:19" x14ac:dyDescent="0.35">
      <c r="A4" s="8"/>
      <c r="B4" s="8"/>
      <c r="C4" s="8"/>
      <c r="D4" s="8"/>
      <c r="E4" s="8"/>
      <c r="F4" s="8"/>
      <c r="G4" s="8"/>
      <c r="H4" s="8"/>
      <c r="I4" s="8"/>
      <c r="J4" s="8"/>
      <c r="K4" s="8"/>
      <c r="L4" s="8"/>
      <c r="M4" s="8"/>
      <c r="N4" s="8"/>
      <c r="O4" s="8"/>
      <c r="P4" s="8"/>
      <c r="Q4" s="8"/>
      <c r="R4" s="8"/>
      <c r="S4" s="8"/>
    </row>
    <row r="5" spans="1:19" x14ac:dyDescent="0.35">
      <c r="A5" s="8"/>
      <c r="B5" s="8"/>
      <c r="C5" s="8"/>
      <c r="D5" s="8"/>
      <c r="E5" s="8"/>
      <c r="F5" s="8"/>
      <c r="G5" s="8"/>
      <c r="H5" s="8"/>
      <c r="I5" s="8"/>
      <c r="J5" s="8"/>
      <c r="K5" s="8"/>
      <c r="L5" s="8"/>
      <c r="M5" s="8"/>
      <c r="N5" s="8"/>
      <c r="O5" s="8"/>
      <c r="P5" s="8"/>
      <c r="Q5" s="8"/>
      <c r="R5" s="8"/>
      <c r="S5" s="8"/>
    </row>
    <row r="6" spans="1:19" x14ac:dyDescent="0.35">
      <c r="A6" s="8"/>
      <c r="B6" s="8"/>
      <c r="C6" s="8"/>
      <c r="D6" s="8"/>
      <c r="E6" s="8"/>
      <c r="F6" s="8"/>
      <c r="G6" s="8"/>
      <c r="H6" s="8"/>
      <c r="I6" s="8"/>
      <c r="J6" s="8"/>
      <c r="K6" s="8"/>
      <c r="L6" s="8"/>
      <c r="M6" s="8"/>
      <c r="N6" s="8"/>
      <c r="O6" s="8"/>
      <c r="P6" s="8"/>
      <c r="Q6" s="8"/>
      <c r="R6" s="8"/>
      <c r="S6" s="8"/>
    </row>
    <row r="7" spans="1:19" x14ac:dyDescent="0.35">
      <c r="A7" s="8"/>
      <c r="B7" s="8"/>
      <c r="C7" s="8"/>
      <c r="D7" s="8"/>
      <c r="E7" s="8"/>
      <c r="F7" s="8"/>
      <c r="G7" s="8"/>
      <c r="H7" s="8"/>
      <c r="I7" s="8"/>
      <c r="J7" s="8"/>
      <c r="K7" s="8"/>
      <c r="L7" s="8"/>
      <c r="M7" s="8"/>
      <c r="N7" s="8"/>
      <c r="O7" s="8"/>
      <c r="P7" s="8"/>
      <c r="Q7" s="8"/>
      <c r="R7" s="8"/>
      <c r="S7" s="8"/>
    </row>
    <row r="8" spans="1:19" x14ac:dyDescent="0.35">
      <c r="A8" s="8"/>
      <c r="B8" s="8"/>
      <c r="C8" s="8"/>
      <c r="D8" s="8"/>
      <c r="E8" s="8"/>
      <c r="F8" s="8"/>
      <c r="G8" s="8"/>
      <c r="H8" s="8"/>
      <c r="I8" s="8"/>
      <c r="J8" s="8"/>
      <c r="K8" s="8"/>
      <c r="L8" s="8"/>
      <c r="M8" s="8"/>
      <c r="N8" s="8"/>
      <c r="O8" s="8"/>
      <c r="P8" s="8"/>
      <c r="Q8" s="8"/>
      <c r="R8" s="8"/>
      <c r="S8" s="8"/>
    </row>
    <row r="9" spans="1:19" x14ac:dyDescent="0.35">
      <c r="A9" s="8"/>
      <c r="B9" s="8"/>
      <c r="C9" s="8"/>
      <c r="D9" s="8"/>
      <c r="E9" s="8"/>
      <c r="F9" s="8"/>
      <c r="G9" s="8"/>
      <c r="H9" s="8"/>
      <c r="I9" s="8"/>
      <c r="J9" s="8"/>
      <c r="K9" s="8"/>
      <c r="L9" s="8"/>
      <c r="M9" s="8"/>
      <c r="N9" s="8"/>
      <c r="O9" s="8"/>
      <c r="P9" s="8"/>
      <c r="Q9" s="8"/>
      <c r="R9" s="8"/>
      <c r="S9" s="8"/>
    </row>
    <row r="10" spans="1:19" x14ac:dyDescent="0.35">
      <c r="A10" s="8"/>
      <c r="B10" s="8"/>
      <c r="C10" s="8"/>
      <c r="D10" s="8"/>
      <c r="E10" s="8"/>
      <c r="F10" s="8"/>
      <c r="G10" s="8"/>
      <c r="H10" s="8"/>
      <c r="I10" s="8"/>
      <c r="J10" s="8"/>
      <c r="K10" s="8"/>
      <c r="L10" s="8"/>
      <c r="M10" s="8"/>
      <c r="N10" s="8"/>
      <c r="O10" s="8"/>
      <c r="P10" s="8"/>
      <c r="Q10" s="8"/>
      <c r="R10" s="8"/>
      <c r="S10" s="8"/>
    </row>
    <row r="11" spans="1:19" x14ac:dyDescent="0.35">
      <c r="A11" s="8"/>
      <c r="B11" s="8"/>
      <c r="C11" s="8"/>
      <c r="D11" s="8"/>
      <c r="E11" s="8"/>
      <c r="F11" s="8"/>
      <c r="G11" s="8"/>
      <c r="H11" s="8"/>
      <c r="I11" s="8"/>
      <c r="J11" s="8"/>
      <c r="K11" s="8"/>
      <c r="L11" s="8"/>
      <c r="M11" s="8"/>
      <c r="N11" s="8"/>
      <c r="O11" s="8"/>
      <c r="P11" s="8"/>
      <c r="Q11" s="8"/>
      <c r="R11" s="8"/>
      <c r="S11" s="8"/>
    </row>
    <row r="12" spans="1:19" x14ac:dyDescent="0.35">
      <c r="A12" s="8"/>
      <c r="B12" s="8"/>
      <c r="C12" s="8"/>
      <c r="D12" s="8"/>
      <c r="E12" s="8"/>
      <c r="F12" s="8"/>
      <c r="G12" s="8"/>
      <c r="H12" s="8"/>
      <c r="I12" s="8"/>
      <c r="J12" s="8"/>
      <c r="K12" s="8"/>
      <c r="L12" s="8"/>
      <c r="M12" s="8"/>
      <c r="N12" s="8"/>
      <c r="O12" s="8"/>
      <c r="P12" s="8"/>
      <c r="Q12" s="8"/>
      <c r="R12" s="8"/>
      <c r="S12" s="8"/>
    </row>
    <row r="13" spans="1:19" x14ac:dyDescent="0.35">
      <c r="A13" s="8"/>
      <c r="B13" s="8"/>
      <c r="C13" s="8"/>
      <c r="D13" s="8"/>
      <c r="E13" s="8"/>
      <c r="F13" s="8"/>
      <c r="G13" s="8"/>
      <c r="H13" s="8"/>
      <c r="I13" s="8"/>
      <c r="J13" s="8"/>
      <c r="K13" s="8"/>
      <c r="L13" s="8"/>
      <c r="M13" s="8"/>
      <c r="N13" s="8"/>
      <c r="O13" s="8"/>
      <c r="P13" s="8"/>
      <c r="Q13" s="8"/>
      <c r="R13" s="8"/>
      <c r="S13" s="8"/>
    </row>
    <row r="14" spans="1:19" x14ac:dyDescent="0.35">
      <c r="A14" s="8"/>
      <c r="B14" s="8"/>
      <c r="C14" s="8"/>
      <c r="D14" s="8"/>
      <c r="E14" s="8"/>
      <c r="F14" s="8"/>
      <c r="G14" s="8"/>
      <c r="H14" s="8"/>
      <c r="I14" s="8"/>
      <c r="J14" s="8"/>
      <c r="K14" s="8"/>
      <c r="L14" s="8"/>
      <c r="M14" s="8"/>
      <c r="N14" s="8"/>
      <c r="O14" s="8"/>
      <c r="P14" s="8"/>
      <c r="Q14" s="8"/>
      <c r="R14" s="8"/>
      <c r="S14" s="8"/>
    </row>
    <row r="15" spans="1:19" x14ac:dyDescent="0.35">
      <c r="A15" s="8"/>
      <c r="B15" s="8"/>
      <c r="C15" s="8"/>
      <c r="D15" s="8"/>
      <c r="E15" s="8"/>
      <c r="F15" s="8"/>
      <c r="G15" s="8"/>
      <c r="H15" s="8"/>
      <c r="I15" s="8"/>
      <c r="J15" s="8"/>
      <c r="K15" s="8"/>
      <c r="L15" s="8"/>
      <c r="M15" s="8"/>
      <c r="N15" s="8"/>
      <c r="O15" s="8"/>
      <c r="P15" s="8"/>
      <c r="Q15" s="8"/>
      <c r="R15" s="8"/>
      <c r="S15" s="8"/>
    </row>
    <row r="16" spans="1:19" x14ac:dyDescent="0.35">
      <c r="A16" s="8"/>
      <c r="B16" s="8"/>
      <c r="C16" s="8"/>
      <c r="D16" s="8"/>
      <c r="E16" s="8"/>
      <c r="F16" s="8"/>
      <c r="G16" s="8"/>
      <c r="H16" s="8"/>
      <c r="I16" s="8"/>
      <c r="J16" s="8"/>
      <c r="K16" s="8"/>
      <c r="L16" s="8"/>
      <c r="M16" s="8"/>
      <c r="N16" s="8"/>
      <c r="O16" s="8"/>
      <c r="P16" s="8"/>
      <c r="Q16" s="8"/>
      <c r="R16" s="8"/>
      <c r="S16" s="8"/>
    </row>
    <row r="17" spans="1:19" x14ac:dyDescent="0.35">
      <c r="A17" s="8"/>
      <c r="B17" s="8"/>
      <c r="C17" s="8"/>
      <c r="D17" s="8"/>
      <c r="E17" s="8"/>
      <c r="F17" s="8"/>
      <c r="G17" s="8"/>
      <c r="H17" s="8"/>
      <c r="I17" s="8"/>
      <c r="J17" s="8"/>
      <c r="K17" s="8"/>
      <c r="L17" s="8"/>
      <c r="M17" s="8"/>
      <c r="N17" s="8"/>
      <c r="O17" s="8"/>
      <c r="P17" s="8"/>
      <c r="Q17" s="8"/>
      <c r="R17" s="8"/>
      <c r="S17" s="8"/>
    </row>
    <row r="18" spans="1:19" x14ac:dyDescent="0.35">
      <c r="A18" s="8"/>
      <c r="B18" s="8"/>
      <c r="C18" s="8"/>
      <c r="D18" s="8"/>
      <c r="E18" s="8"/>
      <c r="F18" s="8"/>
      <c r="G18" s="8"/>
      <c r="H18" s="8"/>
      <c r="I18" s="8"/>
      <c r="J18" s="8"/>
      <c r="K18" s="8"/>
      <c r="L18" s="8"/>
      <c r="M18" s="8"/>
      <c r="N18" s="8"/>
      <c r="O18" s="8"/>
      <c r="P18" s="8"/>
      <c r="Q18" s="8"/>
      <c r="R18" s="8"/>
      <c r="S18" s="8"/>
    </row>
    <row r="19" spans="1:19" x14ac:dyDescent="0.35">
      <c r="A19" s="8"/>
      <c r="B19" s="8"/>
      <c r="C19" s="8"/>
      <c r="D19" s="8"/>
      <c r="E19" s="8"/>
      <c r="F19" s="8"/>
      <c r="G19" s="8"/>
      <c r="H19" s="8"/>
      <c r="I19" s="8"/>
      <c r="J19" s="8"/>
      <c r="K19" s="8"/>
      <c r="L19" s="8"/>
      <c r="M19" s="8"/>
      <c r="N19" s="8"/>
      <c r="O19" s="8"/>
      <c r="P19" s="8"/>
      <c r="Q19" s="8"/>
      <c r="R19" s="8"/>
      <c r="S19" s="8"/>
    </row>
    <row r="20" spans="1:19" x14ac:dyDescent="0.35">
      <c r="A20" s="8"/>
      <c r="B20" s="8"/>
      <c r="C20" s="8"/>
      <c r="D20" s="8"/>
      <c r="E20" s="8"/>
      <c r="F20" s="8"/>
      <c r="G20" s="8"/>
      <c r="H20" s="8"/>
      <c r="I20" s="8"/>
      <c r="J20" s="8"/>
      <c r="K20" s="8"/>
      <c r="L20" s="8"/>
      <c r="M20" s="8"/>
      <c r="N20" s="8"/>
      <c r="O20" s="8"/>
      <c r="P20" s="8"/>
      <c r="Q20" s="8"/>
      <c r="R20" s="8"/>
      <c r="S20" s="8"/>
    </row>
    <row r="21" spans="1:19" x14ac:dyDescent="0.35">
      <c r="A21" s="8"/>
      <c r="B21" s="8"/>
      <c r="C21" s="8"/>
      <c r="D21" s="8"/>
      <c r="E21" s="8"/>
      <c r="F21" s="8"/>
      <c r="G21" s="8"/>
      <c r="H21" s="8"/>
      <c r="I21" s="8"/>
      <c r="J21" s="8"/>
      <c r="K21" s="8"/>
      <c r="L21" s="8"/>
      <c r="M21" s="8"/>
      <c r="N21" s="8"/>
      <c r="O21" s="8"/>
      <c r="P21" s="8"/>
      <c r="Q21" s="8"/>
      <c r="R21" s="8"/>
      <c r="S21" s="8"/>
    </row>
    <row r="22" spans="1:19" x14ac:dyDescent="0.35">
      <c r="A22" s="8"/>
      <c r="B22" s="8"/>
      <c r="C22" s="8"/>
      <c r="D22" s="8"/>
      <c r="E22" s="8"/>
      <c r="F22" s="8"/>
      <c r="G22" s="8"/>
      <c r="H22" s="8"/>
      <c r="I22" s="8"/>
      <c r="J22" s="8"/>
      <c r="K22" s="8"/>
      <c r="L22" s="8"/>
      <c r="M22" s="8"/>
      <c r="N22" s="8"/>
      <c r="O22" s="8"/>
      <c r="P22" s="8"/>
      <c r="Q22" s="8"/>
      <c r="R22" s="8"/>
      <c r="S22" s="8"/>
    </row>
    <row r="23" spans="1:19" x14ac:dyDescent="0.35">
      <c r="A23" s="8"/>
      <c r="B23" s="8"/>
      <c r="C23" s="8"/>
      <c r="D23" s="8"/>
      <c r="E23" s="8"/>
      <c r="F23" s="8"/>
      <c r="G23" s="8"/>
      <c r="H23" s="8"/>
      <c r="I23" s="8"/>
      <c r="J23" s="8"/>
      <c r="K23" s="8"/>
      <c r="L23" s="8"/>
      <c r="M23" s="8"/>
      <c r="N23" s="8"/>
      <c r="O23" s="8"/>
      <c r="P23" s="8"/>
      <c r="Q23" s="8"/>
      <c r="R23" s="8"/>
      <c r="S23" s="8"/>
    </row>
    <row r="24" spans="1:19" x14ac:dyDescent="0.35">
      <c r="A24" s="8"/>
      <c r="B24" s="8"/>
      <c r="C24" s="8"/>
      <c r="D24" s="8"/>
      <c r="E24" s="8"/>
      <c r="F24" s="8"/>
      <c r="G24" s="8"/>
      <c r="H24" s="8"/>
      <c r="I24" s="8"/>
      <c r="J24" s="8"/>
      <c r="K24" s="8"/>
      <c r="L24" s="8"/>
      <c r="M24" s="8"/>
      <c r="N24" s="8"/>
      <c r="O24" s="8"/>
      <c r="P24" s="8"/>
      <c r="Q24" s="8"/>
      <c r="R24" s="8"/>
      <c r="S24" s="8"/>
    </row>
    <row r="25" spans="1:19" x14ac:dyDescent="0.35">
      <c r="A25" s="16" t="s">
        <v>36</v>
      </c>
      <c r="B25" s="17"/>
      <c r="C25" s="17"/>
      <c r="D25" s="17"/>
      <c r="E25" s="17"/>
      <c r="F25" s="17"/>
      <c r="G25" s="17"/>
      <c r="H25" s="17"/>
      <c r="I25" s="17"/>
      <c r="J25" s="17"/>
      <c r="K25" s="17"/>
      <c r="L25" s="17"/>
      <c r="M25" s="17"/>
      <c r="N25" s="17"/>
      <c r="O25" s="17"/>
      <c r="P25" s="8"/>
      <c r="Q25" s="8"/>
      <c r="R25" s="8"/>
      <c r="S25" s="8"/>
    </row>
  </sheetData>
  <mergeCells count="1">
    <mergeCell ref="A25:O2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CAF855-6B7D-499F-A128-69DE8A164BE6}">
  <dimension ref="A1:M34"/>
  <sheetViews>
    <sheetView showGridLines="0" zoomScale="123" zoomScaleNormal="140" workbookViewId="0">
      <selection activeCell="H19" sqref="H19"/>
    </sheetView>
  </sheetViews>
  <sheetFormatPr defaultRowHeight="14.5" x14ac:dyDescent="0.35"/>
  <sheetData>
    <row r="1" spans="1:13" x14ac:dyDescent="0.35">
      <c r="A1" s="5"/>
      <c r="B1" s="5"/>
      <c r="C1" s="5"/>
      <c r="D1" s="5"/>
      <c r="E1" s="5"/>
      <c r="F1" s="5"/>
      <c r="G1" s="5"/>
      <c r="H1" s="5"/>
      <c r="I1" s="5"/>
      <c r="J1" s="5"/>
      <c r="K1" s="5"/>
      <c r="L1" s="5"/>
      <c r="M1" s="5"/>
    </row>
    <row r="2" spans="1:13" x14ac:dyDescent="0.35">
      <c r="A2" s="5"/>
      <c r="B2" s="5"/>
      <c r="C2" s="5"/>
      <c r="D2" s="5"/>
      <c r="E2" s="5"/>
      <c r="F2" s="5"/>
      <c r="G2" s="5"/>
      <c r="H2" s="5"/>
      <c r="I2" s="5"/>
      <c r="J2" s="5"/>
      <c r="K2" s="5"/>
      <c r="L2" s="5"/>
      <c r="M2" s="5"/>
    </row>
    <row r="3" spans="1:13" x14ac:dyDescent="0.35">
      <c r="A3" s="5"/>
      <c r="B3" s="5"/>
      <c r="C3" s="5"/>
      <c r="D3" s="5"/>
      <c r="E3" s="5"/>
      <c r="F3" s="5"/>
      <c r="G3" s="5"/>
      <c r="H3" s="5"/>
      <c r="I3" s="5"/>
      <c r="J3" s="5"/>
      <c r="K3" s="5"/>
      <c r="L3" s="5"/>
      <c r="M3" s="5"/>
    </row>
    <row r="4" spans="1:13" x14ac:dyDescent="0.35">
      <c r="A4" s="5"/>
      <c r="B4" s="5"/>
      <c r="C4" s="5"/>
      <c r="D4" s="5"/>
      <c r="E4" s="5"/>
      <c r="F4" s="5"/>
      <c r="G4" s="5"/>
      <c r="H4" s="5"/>
      <c r="I4" s="5"/>
      <c r="J4" s="5"/>
      <c r="K4" s="5"/>
      <c r="L4" s="5"/>
      <c r="M4" s="5"/>
    </row>
    <row r="5" spans="1:13" x14ac:dyDescent="0.35">
      <c r="A5" s="5"/>
      <c r="B5" s="5"/>
      <c r="C5" s="5"/>
      <c r="D5" s="5"/>
      <c r="E5" s="5"/>
      <c r="F5" s="5"/>
      <c r="G5" s="5"/>
      <c r="H5" s="5"/>
      <c r="I5" s="5"/>
      <c r="J5" s="5"/>
      <c r="K5" s="5"/>
      <c r="L5" s="5"/>
      <c r="M5" s="5"/>
    </row>
    <row r="6" spans="1:13" x14ac:dyDescent="0.35">
      <c r="A6" s="5"/>
      <c r="B6" s="5"/>
      <c r="C6" s="5"/>
      <c r="D6" s="5"/>
      <c r="E6" s="5"/>
      <c r="F6" s="5"/>
      <c r="G6" s="5"/>
      <c r="H6" s="5"/>
      <c r="I6" s="5"/>
      <c r="J6" s="5"/>
      <c r="K6" s="5"/>
      <c r="L6" s="5"/>
      <c r="M6" s="5"/>
    </row>
    <row r="7" spans="1:13" x14ac:dyDescent="0.35">
      <c r="A7" s="5"/>
      <c r="B7" s="5"/>
      <c r="C7" s="5"/>
      <c r="D7" s="5"/>
      <c r="E7" s="5"/>
      <c r="F7" s="5"/>
      <c r="G7" s="5"/>
      <c r="H7" s="5"/>
      <c r="I7" s="5"/>
      <c r="J7" s="5"/>
      <c r="K7" s="5"/>
      <c r="L7" s="5"/>
      <c r="M7" s="5"/>
    </row>
    <row r="8" spans="1:13" x14ac:dyDescent="0.35">
      <c r="A8" s="5"/>
      <c r="B8" s="5"/>
      <c r="C8" s="5"/>
      <c r="D8" s="5"/>
      <c r="E8" s="5"/>
      <c r="F8" s="5"/>
      <c r="G8" s="5"/>
      <c r="H8" s="5"/>
      <c r="I8" s="5"/>
      <c r="J8" s="5"/>
      <c r="K8" s="5"/>
      <c r="L8" s="5"/>
      <c r="M8" s="5"/>
    </row>
    <row r="9" spans="1:13" x14ac:dyDescent="0.35">
      <c r="A9" s="5"/>
      <c r="B9" s="5"/>
      <c r="C9" s="5"/>
      <c r="D9" s="5"/>
      <c r="E9" s="5"/>
      <c r="F9" s="5"/>
      <c r="G9" s="5"/>
      <c r="H9" s="5"/>
      <c r="I9" s="5"/>
      <c r="J9" s="5"/>
      <c r="K9" s="5"/>
      <c r="L9" s="5"/>
      <c r="M9" s="5"/>
    </row>
    <row r="10" spans="1:13" x14ac:dyDescent="0.35">
      <c r="A10" s="5"/>
      <c r="B10" s="5"/>
      <c r="C10" s="5"/>
      <c r="D10" s="5"/>
      <c r="E10" s="5"/>
      <c r="F10" s="5"/>
      <c r="G10" s="5"/>
      <c r="H10" s="5"/>
      <c r="I10" s="5"/>
      <c r="J10" s="5"/>
      <c r="K10" s="5"/>
      <c r="L10" s="5"/>
      <c r="M10" s="5"/>
    </row>
    <row r="11" spans="1:13" x14ac:dyDescent="0.35">
      <c r="A11" s="5"/>
      <c r="B11" s="5"/>
      <c r="C11" s="5"/>
      <c r="D11" s="5"/>
      <c r="E11" s="5"/>
      <c r="F11" s="5"/>
      <c r="G11" s="5"/>
      <c r="H11" s="5"/>
      <c r="I11" s="5"/>
      <c r="J11" s="5"/>
      <c r="K11" s="5"/>
      <c r="L11" s="5"/>
      <c r="M11" s="5"/>
    </row>
    <row r="12" spans="1:13" ht="15" customHeight="1" x14ac:dyDescent="0.35">
      <c r="A12" s="5"/>
      <c r="B12" s="5"/>
      <c r="C12" s="5"/>
      <c r="D12" s="5"/>
      <c r="E12" s="5"/>
      <c r="F12" s="5"/>
      <c r="G12" s="5"/>
      <c r="H12" s="5"/>
      <c r="I12" s="5"/>
      <c r="J12" s="5"/>
      <c r="K12" s="5"/>
      <c r="L12" s="5"/>
      <c r="M12" s="5"/>
    </row>
    <row r="13" spans="1:13" x14ac:dyDescent="0.35">
      <c r="A13" s="5"/>
      <c r="B13" s="5"/>
      <c r="C13" s="5"/>
      <c r="D13" s="5"/>
      <c r="E13" s="5"/>
      <c r="F13" s="5"/>
      <c r="G13" s="5"/>
      <c r="H13" s="5"/>
      <c r="I13" s="5"/>
      <c r="J13" s="5"/>
      <c r="K13" s="5"/>
      <c r="L13" s="5"/>
      <c r="M13" s="5"/>
    </row>
    <row r="14" spans="1:13" x14ac:dyDescent="0.35">
      <c r="A14" s="5"/>
      <c r="B14" s="5"/>
      <c r="C14" s="5"/>
      <c r="D14" s="5"/>
      <c r="E14" s="5"/>
      <c r="F14" s="5"/>
      <c r="G14" s="5"/>
      <c r="H14" s="5"/>
      <c r="I14" s="5"/>
      <c r="J14" s="5"/>
      <c r="K14" s="5"/>
      <c r="L14" s="5"/>
      <c r="M14" s="5"/>
    </row>
    <row r="15" spans="1:13" x14ac:dyDescent="0.35">
      <c r="A15" s="5"/>
      <c r="B15" s="5"/>
      <c r="C15" s="5"/>
      <c r="D15" s="5"/>
      <c r="E15" s="5"/>
      <c r="F15" s="5"/>
      <c r="G15" s="5"/>
      <c r="H15" s="5"/>
      <c r="I15" s="5"/>
      <c r="J15" s="5"/>
      <c r="K15" s="5"/>
      <c r="L15" s="5"/>
      <c r="M15" s="5"/>
    </row>
    <row r="16" spans="1:13" x14ac:dyDescent="0.35">
      <c r="A16" s="5"/>
      <c r="B16" s="5"/>
      <c r="C16" s="5"/>
      <c r="D16" s="5"/>
      <c r="E16" s="5"/>
      <c r="F16" s="5"/>
      <c r="G16" s="5"/>
      <c r="H16" s="5"/>
      <c r="I16" s="5"/>
      <c r="J16" s="5"/>
      <c r="K16" s="5"/>
      <c r="L16" s="5"/>
      <c r="M16" s="5"/>
    </row>
    <row r="17" spans="1:13" x14ac:dyDescent="0.35">
      <c r="A17" s="5"/>
      <c r="B17" s="5"/>
      <c r="C17" s="5"/>
      <c r="D17" s="5"/>
      <c r="E17" s="5"/>
      <c r="F17" s="5"/>
      <c r="G17" s="5"/>
      <c r="H17" s="5"/>
      <c r="I17" s="5"/>
      <c r="J17" s="5"/>
      <c r="K17" s="5"/>
      <c r="L17" s="5"/>
      <c r="M17" s="5"/>
    </row>
    <row r="18" spans="1:13" x14ac:dyDescent="0.35">
      <c r="A18" s="5"/>
      <c r="B18" s="5"/>
      <c r="C18" s="5"/>
      <c r="D18" s="5"/>
      <c r="E18" s="5"/>
      <c r="F18" s="5"/>
      <c r="G18" s="5"/>
      <c r="H18" s="5"/>
      <c r="I18" s="5"/>
      <c r="J18" s="5"/>
      <c r="K18" s="5"/>
      <c r="L18" s="5"/>
      <c r="M18" s="5"/>
    </row>
    <row r="19" spans="1:13" x14ac:dyDescent="0.35">
      <c r="A19" s="5"/>
      <c r="B19" s="5"/>
      <c r="C19" s="5"/>
      <c r="D19" s="5"/>
      <c r="E19" s="5"/>
      <c r="F19" s="5"/>
      <c r="G19" s="5"/>
      <c r="H19" s="5"/>
      <c r="I19" s="5"/>
      <c r="J19" s="5"/>
      <c r="K19" s="5"/>
      <c r="L19" s="5"/>
      <c r="M19" s="5"/>
    </row>
    <row r="20" spans="1:13" x14ac:dyDescent="0.35">
      <c r="A20" s="5"/>
      <c r="B20" s="5"/>
      <c r="C20" s="5"/>
      <c r="D20" s="5"/>
      <c r="E20" s="5"/>
      <c r="F20" s="5"/>
      <c r="G20" s="5"/>
      <c r="H20" s="5"/>
      <c r="I20" s="5"/>
      <c r="J20" s="5"/>
      <c r="K20" s="5"/>
      <c r="L20" s="5"/>
      <c r="M20" s="5"/>
    </row>
    <row r="21" spans="1:13" x14ac:dyDescent="0.35">
      <c r="A21" s="5"/>
      <c r="B21" s="5"/>
      <c r="C21" s="5"/>
      <c r="D21" s="5"/>
      <c r="E21" s="5"/>
      <c r="F21" s="5"/>
      <c r="G21" s="5"/>
      <c r="H21" s="5"/>
      <c r="I21" s="5"/>
      <c r="J21" s="5"/>
      <c r="K21" s="5"/>
      <c r="L21" s="5"/>
      <c r="M21" s="5"/>
    </row>
    <row r="22" spans="1:13" x14ac:dyDescent="0.35">
      <c r="A22" s="5"/>
      <c r="B22" s="5"/>
      <c r="C22" s="5"/>
      <c r="D22" s="5"/>
      <c r="E22" s="5"/>
      <c r="F22" s="5"/>
      <c r="G22" s="5"/>
      <c r="H22" s="5"/>
      <c r="I22" s="5"/>
      <c r="J22" s="5"/>
      <c r="K22" s="5"/>
      <c r="L22" s="5"/>
      <c r="M22" s="5"/>
    </row>
    <row r="23" spans="1:13" x14ac:dyDescent="0.35">
      <c r="A23" s="5"/>
      <c r="B23" s="5"/>
      <c r="C23" s="5"/>
      <c r="D23" s="5"/>
      <c r="E23" s="5"/>
      <c r="F23" s="5"/>
      <c r="G23" s="5"/>
      <c r="H23" s="5"/>
      <c r="I23" s="5"/>
      <c r="J23" s="5"/>
      <c r="K23" s="5"/>
      <c r="L23" s="5"/>
      <c r="M23" s="5"/>
    </row>
    <row r="24" spans="1:13" x14ac:dyDescent="0.35">
      <c r="A24" s="5"/>
      <c r="B24" s="5"/>
      <c r="C24" s="5"/>
      <c r="D24" s="5"/>
      <c r="E24" s="5"/>
      <c r="F24" s="5"/>
      <c r="G24" s="5"/>
      <c r="H24" s="5"/>
      <c r="I24" s="5"/>
      <c r="J24" s="5"/>
      <c r="K24" s="5"/>
      <c r="L24" s="5"/>
      <c r="M24" s="5"/>
    </row>
    <row r="25" spans="1:13" x14ac:dyDescent="0.35">
      <c r="A25" s="5"/>
      <c r="B25" s="5"/>
      <c r="C25" s="5"/>
      <c r="D25" s="5"/>
      <c r="E25" s="5"/>
      <c r="F25" s="5"/>
      <c r="G25" s="5"/>
      <c r="H25" s="5"/>
      <c r="I25" s="5"/>
      <c r="J25" s="5"/>
      <c r="K25" s="5"/>
      <c r="L25" s="5"/>
      <c r="M25" s="5"/>
    </row>
    <row r="26" spans="1:13" x14ac:dyDescent="0.35">
      <c r="A26" s="5"/>
      <c r="B26" s="5"/>
      <c r="C26" s="5"/>
      <c r="D26" s="5"/>
      <c r="E26" s="5"/>
      <c r="F26" s="5"/>
      <c r="G26" s="5"/>
      <c r="H26" s="5"/>
      <c r="I26" s="5"/>
      <c r="J26" s="5"/>
      <c r="K26" s="5"/>
      <c r="L26" s="5"/>
      <c r="M26" s="5"/>
    </row>
    <row r="27" spans="1:13" x14ac:dyDescent="0.35">
      <c r="A27" s="5"/>
      <c r="B27" s="5"/>
      <c r="C27" s="5"/>
      <c r="D27" s="5"/>
      <c r="E27" s="5"/>
      <c r="F27" s="5"/>
      <c r="G27" s="5"/>
      <c r="H27" s="5"/>
      <c r="I27" s="5"/>
      <c r="J27" s="5"/>
      <c r="K27" s="5"/>
      <c r="L27" s="5"/>
      <c r="M27" s="5"/>
    </row>
    <row r="28" spans="1:13" x14ac:dyDescent="0.35">
      <c r="A28" s="5"/>
      <c r="B28" s="5"/>
      <c r="C28" s="5"/>
      <c r="D28" s="5"/>
      <c r="E28" s="5"/>
      <c r="F28" s="5"/>
      <c r="G28" s="5"/>
      <c r="H28" s="5"/>
      <c r="I28" s="5"/>
      <c r="J28" s="5"/>
      <c r="K28" s="5"/>
      <c r="L28" s="5"/>
      <c r="M28" s="5"/>
    </row>
    <row r="29" spans="1:13" x14ac:dyDescent="0.35">
      <c r="A29" s="5"/>
      <c r="B29" s="5"/>
      <c r="C29" s="5"/>
      <c r="D29" s="5"/>
      <c r="E29" s="5"/>
      <c r="F29" s="5"/>
      <c r="G29" s="5"/>
      <c r="H29" s="5"/>
      <c r="I29" s="5"/>
      <c r="J29" s="5"/>
      <c r="K29" s="5"/>
      <c r="L29" s="5"/>
      <c r="M29" s="5"/>
    </row>
    <row r="30" spans="1:13" x14ac:dyDescent="0.35">
      <c r="A30" s="5"/>
      <c r="B30" s="5"/>
      <c r="C30" s="5"/>
      <c r="D30" s="5"/>
      <c r="E30" s="5"/>
      <c r="F30" s="5"/>
      <c r="G30" s="5"/>
      <c r="H30" s="5"/>
      <c r="I30" s="5"/>
      <c r="J30" s="5"/>
      <c r="K30" s="5"/>
      <c r="L30" s="5"/>
      <c r="M30" s="5"/>
    </row>
    <row r="31" spans="1:13" x14ac:dyDescent="0.35">
      <c r="A31" s="5"/>
      <c r="B31" s="5"/>
      <c r="C31" s="5"/>
      <c r="D31" s="5"/>
      <c r="E31" s="5"/>
      <c r="F31" s="5"/>
      <c r="G31" s="5"/>
      <c r="H31" s="5"/>
      <c r="I31" s="5"/>
      <c r="J31" s="5"/>
      <c r="K31" s="5"/>
      <c r="L31" s="5"/>
      <c r="M31" s="5"/>
    </row>
    <row r="32" spans="1:13" x14ac:dyDescent="0.35">
      <c r="A32" s="5"/>
      <c r="B32" s="5"/>
      <c r="C32" s="5"/>
      <c r="D32" s="5"/>
      <c r="E32" s="5"/>
      <c r="F32" s="5"/>
      <c r="G32" s="5"/>
      <c r="H32" s="5"/>
      <c r="I32" s="5"/>
      <c r="J32" s="5"/>
      <c r="K32" s="5"/>
      <c r="L32" s="5"/>
      <c r="M32" s="5"/>
    </row>
    <row r="33" spans="1:13" x14ac:dyDescent="0.35">
      <c r="A33" s="5"/>
      <c r="B33" s="5"/>
      <c r="C33" s="5"/>
      <c r="D33" s="5"/>
      <c r="E33" s="5"/>
      <c r="F33" s="5"/>
      <c r="G33" s="5"/>
      <c r="H33" s="5"/>
      <c r="I33" s="5"/>
      <c r="J33" s="5"/>
      <c r="K33" s="5"/>
      <c r="L33" s="5"/>
      <c r="M33" s="5"/>
    </row>
    <row r="34" spans="1:13" x14ac:dyDescent="0.35">
      <c r="A34" s="5"/>
      <c r="B34" s="5"/>
      <c r="C34" s="5"/>
      <c r="D34" s="5"/>
      <c r="E34" s="5"/>
      <c r="F34" s="5"/>
      <c r="G34" s="5"/>
      <c r="H34" s="5"/>
      <c r="I34" s="5"/>
      <c r="J34" s="5"/>
      <c r="K34" s="5"/>
      <c r="L34" s="5"/>
      <c r="M34" s="5"/>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D39CA-B22F-4CE6-9CE4-FB34BBAC09D7}">
  <dimension ref="A1:O20"/>
  <sheetViews>
    <sheetView workbookViewId="0">
      <selection activeCell="A2" sqref="A2"/>
    </sheetView>
  </sheetViews>
  <sheetFormatPr defaultRowHeight="14.5" x14ac:dyDescent="0.35"/>
  <sheetData>
    <row r="1" spans="1:15" x14ac:dyDescent="0.35">
      <c r="A1" s="6"/>
      <c r="B1" s="6"/>
      <c r="C1" s="6"/>
      <c r="D1" s="6"/>
      <c r="E1" s="6"/>
      <c r="F1" s="6"/>
      <c r="G1" s="6"/>
      <c r="H1" s="6"/>
      <c r="I1" s="6"/>
      <c r="J1" s="6"/>
      <c r="K1" s="6"/>
      <c r="L1" s="6"/>
      <c r="M1" s="6"/>
      <c r="N1" s="6"/>
      <c r="O1" s="6"/>
    </row>
    <row r="2" spans="1:15" x14ac:dyDescent="0.35">
      <c r="A2" s="6"/>
      <c r="B2" s="6"/>
      <c r="C2" s="6"/>
      <c r="D2" s="6"/>
      <c r="E2" s="6"/>
      <c r="F2" s="6"/>
      <c r="G2" s="6"/>
      <c r="H2" s="6"/>
      <c r="I2" s="6"/>
      <c r="J2" s="6"/>
      <c r="K2" s="6"/>
      <c r="L2" s="6"/>
      <c r="M2" s="6"/>
      <c r="N2" s="6"/>
      <c r="O2" s="6"/>
    </row>
    <row r="3" spans="1:15" x14ac:dyDescent="0.35">
      <c r="A3" s="6"/>
      <c r="B3" s="6"/>
      <c r="C3" s="6"/>
      <c r="D3" s="6"/>
      <c r="E3" s="6"/>
      <c r="F3" s="6"/>
      <c r="G3" s="6"/>
      <c r="H3" s="6"/>
      <c r="I3" s="6"/>
      <c r="J3" s="6"/>
      <c r="K3" s="6"/>
      <c r="L3" s="6"/>
      <c r="M3" s="6"/>
      <c r="N3" s="6"/>
      <c r="O3" s="6"/>
    </row>
    <row r="4" spans="1:15" x14ac:dyDescent="0.35">
      <c r="A4" s="6"/>
      <c r="B4" s="6"/>
      <c r="C4" s="6"/>
      <c r="D4" s="6"/>
      <c r="E4" s="6"/>
      <c r="F4" s="6"/>
      <c r="G4" s="6"/>
      <c r="H4" s="6"/>
      <c r="I4" s="6"/>
      <c r="J4" s="6"/>
      <c r="K4" s="6"/>
      <c r="L4" s="6"/>
      <c r="M4" s="6"/>
      <c r="N4" s="6"/>
      <c r="O4" s="6"/>
    </row>
    <row r="5" spans="1:15" x14ac:dyDescent="0.35">
      <c r="A5" s="6"/>
      <c r="B5" s="6"/>
      <c r="C5" s="6"/>
      <c r="D5" s="6"/>
      <c r="E5" s="6"/>
      <c r="F5" s="6"/>
      <c r="G5" s="6"/>
      <c r="H5" s="6"/>
      <c r="I5" s="6"/>
      <c r="J5" s="6"/>
      <c r="K5" s="6"/>
      <c r="L5" s="6"/>
      <c r="M5" s="6"/>
      <c r="N5" s="6"/>
      <c r="O5" s="6"/>
    </row>
    <row r="6" spans="1:15" x14ac:dyDescent="0.35">
      <c r="A6" s="6"/>
      <c r="B6" s="6"/>
      <c r="C6" s="6"/>
      <c r="D6" s="6"/>
      <c r="E6" s="6"/>
      <c r="F6" s="6"/>
      <c r="G6" s="6"/>
      <c r="H6" s="6"/>
      <c r="I6" s="6"/>
      <c r="J6" s="6"/>
      <c r="K6" s="6"/>
      <c r="L6" s="6"/>
      <c r="M6" s="6"/>
      <c r="N6" s="6"/>
      <c r="O6" s="6"/>
    </row>
    <row r="7" spans="1:15" x14ac:dyDescent="0.35">
      <c r="A7" s="6"/>
      <c r="B7" s="6"/>
      <c r="C7" s="6"/>
      <c r="D7" s="6"/>
      <c r="E7" s="6"/>
      <c r="F7" s="6"/>
      <c r="G7" s="6"/>
      <c r="H7" s="6"/>
      <c r="I7" s="6"/>
      <c r="J7" s="6"/>
      <c r="K7" s="6"/>
      <c r="L7" s="6"/>
      <c r="M7" s="6"/>
      <c r="N7" s="6"/>
      <c r="O7" s="6"/>
    </row>
    <row r="8" spans="1:15" x14ac:dyDescent="0.35">
      <c r="A8" s="6"/>
      <c r="B8" s="6"/>
      <c r="C8" s="6"/>
      <c r="D8" s="6"/>
      <c r="E8" s="6"/>
      <c r="F8" s="6"/>
      <c r="G8" s="6"/>
      <c r="H8" s="6"/>
      <c r="I8" s="6"/>
      <c r="J8" s="6"/>
      <c r="K8" s="6"/>
      <c r="L8" s="6"/>
      <c r="M8" s="6"/>
      <c r="N8" s="6"/>
      <c r="O8" s="6"/>
    </row>
    <row r="9" spans="1:15" x14ac:dyDescent="0.35">
      <c r="A9" s="6"/>
      <c r="B9" s="6"/>
      <c r="C9" s="6"/>
      <c r="D9" s="6"/>
      <c r="E9" s="6"/>
      <c r="F9" s="6"/>
      <c r="G9" s="6"/>
      <c r="H9" s="6"/>
      <c r="I9" s="6"/>
      <c r="J9" s="6"/>
      <c r="K9" s="6"/>
      <c r="L9" s="6"/>
      <c r="M9" s="6"/>
      <c r="N9" s="6"/>
      <c r="O9" s="6"/>
    </row>
    <row r="10" spans="1:15" x14ac:dyDescent="0.35">
      <c r="A10" s="6"/>
      <c r="B10" s="6"/>
      <c r="C10" s="6"/>
      <c r="D10" s="6"/>
      <c r="E10" s="6"/>
      <c r="F10" s="6"/>
      <c r="G10" s="6"/>
      <c r="H10" s="6"/>
      <c r="I10" s="6"/>
      <c r="J10" s="6"/>
      <c r="K10" s="6"/>
      <c r="L10" s="6"/>
      <c r="M10" s="6"/>
      <c r="N10" s="6"/>
      <c r="O10" s="6"/>
    </row>
    <row r="11" spans="1:15" x14ac:dyDescent="0.35">
      <c r="A11" s="6"/>
      <c r="B11" s="6"/>
      <c r="C11" s="6"/>
      <c r="D11" s="6"/>
      <c r="E11" s="6"/>
      <c r="F11" s="6"/>
      <c r="G11" s="6"/>
      <c r="H11" s="6"/>
      <c r="I11" s="6"/>
      <c r="J11" s="6"/>
      <c r="K11" s="6"/>
      <c r="L11" s="6"/>
      <c r="M11" s="6"/>
      <c r="N11" s="6"/>
      <c r="O11" s="6"/>
    </row>
    <row r="12" spans="1:15" x14ac:dyDescent="0.35">
      <c r="A12" s="6"/>
      <c r="B12" s="6"/>
      <c r="C12" s="6"/>
      <c r="D12" s="6"/>
      <c r="E12" s="6"/>
      <c r="F12" s="6"/>
      <c r="G12" s="6"/>
      <c r="H12" s="6"/>
      <c r="I12" s="6"/>
      <c r="J12" s="6"/>
      <c r="K12" s="6"/>
      <c r="L12" s="6"/>
      <c r="M12" s="6"/>
      <c r="N12" s="6"/>
      <c r="O12" s="6"/>
    </row>
    <row r="13" spans="1:15" x14ac:dyDescent="0.35">
      <c r="A13" s="6"/>
      <c r="B13" s="6"/>
      <c r="C13" s="6"/>
      <c r="D13" s="6"/>
      <c r="E13" s="6"/>
      <c r="F13" s="6"/>
      <c r="G13" s="6"/>
      <c r="H13" s="6"/>
      <c r="I13" s="6"/>
      <c r="J13" s="6"/>
      <c r="K13" s="6"/>
      <c r="L13" s="6"/>
      <c r="M13" s="6"/>
      <c r="N13" s="6"/>
      <c r="O13" s="6"/>
    </row>
    <row r="14" spans="1:15" x14ac:dyDescent="0.35">
      <c r="A14" s="6"/>
      <c r="B14" s="6"/>
      <c r="C14" s="6"/>
      <c r="D14" s="6"/>
      <c r="E14" s="6"/>
      <c r="F14" s="6"/>
      <c r="G14" s="6"/>
      <c r="H14" s="6"/>
      <c r="I14" s="6"/>
      <c r="J14" s="6"/>
      <c r="K14" s="6"/>
      <c r="L14" s="6"/>
      <c r="M14" s="6"/>
      <c r="N14" s="6"/>
      <c r="O14" s="6"/>
    </row>
    <row r="15" spans="1:15" x14ac:dyDescent="0.35">
      <c r="A15" s="6"/>
      <c r="B15" s="6"/>
      <c r="C15" s="6"/>
      <c r="D15" s="6"/>
      <c r="E15" s="6"/>
      <c r="F15" s="6"/>
      <c r="G15" s="6"/>
      <c r="H15" s="6"/>
      <c r="I15" s="6"/>
      <c r="J15" s="6"/>
      <c r="K15" s="6"/>
      <c r="L15" s="6"/>
      <c r="M15" s="6"/>
      <c r="N15" s="6"/>
      <c r="O15" s="6"/>
    </row>
    <row r="16" spans="1:15" x14ac:dyDescent="0.35">
      <c r="A16" s="6"/>
      <c r="B16" s="6"/>
      <c r="C16" s="6"/>
      <c r="D16" s="6"/>
      <c r="E16" s="6"/>
      <c r="F16" s="6"/>
      <c r="G16" s="6"/>
      <c r="H16" s="6"/>
      <c r="I16" s="6"/>
      <c r="J16" s="6"/>
      <c r="K16" s="6"/>
      <c r="L16" s="6"/>
      <c r="M16" s="6"/>
      <c r="N16" s="6"/>
      <c r="O16" s="6"/>
    </row>
    <row r="17" spans="1:15" x14ac:dyDescent="0.35">
      <c r="A17" s="6"/>
      <c r="B17" s="6"/>
      <c r="C17" s="6"/>
      <c r="D17" s="6"/>
      <c r="E17" s="6"/>
      <c r="F17" s="6"/>
      <c r="G17" s="6"/>
      <c r="H17" s="6"/>
      <c r="I17" s="6"/>
      <c r="J17" s="6"/>
      <c r="K17" s="6"/>
      <c r="L17" s="6"/>
      <c r="M17" s="6"/>
      <c r="N17" s="6"/>
      <c r="O17" s="6"/>
    </row>
    <row r="18" spans="1:15" x14ac:dyDescent="0.35">
      <c r="A18" s="6"/>
      <c r="B18" s="6"/>
      <c r="C18" s="6"/>
      <c r="D18" s="6"/>
      <c r="E18" s="6"/>
      <c r="F18" s="6"/>
      <c r="G18" s="6"/>
      <c r="H18" s="6"/>
      <c r="I18" s="6"/>
      <c r="J18" s="6"/>
      <c r="K18" s="6"/>
      <c r="L18" s="6"/>
      <c r="M18" s="6"/>
      <c r="N18" s="6"/>
      <c r="O18" s="6"/>
    </row>
    <row r="19" spans="1:15" x14ac:dyDescent="0.35">
      <c r="A19" s="6"/>
      <c r="B19" s="6"/>
      <c r="C19" s="6"/>
      <c r="D19" s="6"/>
      <c r="E19" s="6"/>
      <c r="F19" s="6"/>
      <c r="G19" s="6"/>
      <c r="H19" s="6"/>
      <c r="I19" s="6"/>
      <c r="J19" s="6"/>
      <c r="K19" s="6"/>
      <c r="L19" s="6"/>
      <c r="M19" s="6"/>
      <c r="N19" s="6"/>
      <c r="O19" s="6"/>
    </row>
    <row r="20" spans="1:15" x14ac:dyDescent="0.35">
      <c r="A20" s="6"/>
      <c r="B20" s="18" t="s">
        <v>33</v>
      </c>
      <c r="C20" s="19"/>
      <c r="D20" s="19"/>
      <c r="E20" s="19"/>
      <c r="F20" s="19"/>
      <c r="G20" s="19"/>
      <c r="H20" s="19"/>
      <c r="I20" s="19"/>
      <c r="J20" s="19"/>
      <c r="K20" s="19"/>
      <c r="L20" s="19"/>
      <c r="M20" s="19"/>
      <c r="N20" s="6"/>
      <c r="O20" s="6"/>
    </row>
  </sheetData>
  <mergeCells count="1">
    <mergeCell ref="B20:M2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53025-AB63-4850-8EEE-F151944CF425}">
  <dimension ref="A1:S25"/>
  <sheetViews>
    <sheetView topLeftCell="A5" workbookViewId="0">
      <selection activeCell="E2" sqref="E2"/>
    </sheetView>
  </sheetViews>
  <sheetFormatPr defaultRowHeight="14.5" x14ac:dyDescent="0.35"/>
  <sheetData>
    <row r="1" spans="1:19" x14ac:dyDescent="0.35">
      <c r="A1" s="8"/>
      <c r="B1" s="8"/>
      <c r="C1" s="8"/>
      <c r="D1" s="8"/>
      <c r="E1" s="8"/>
      <c r="F1" s="8"/>
      <c r="G1" s="8"/>
      <c r="H1" s="8"/>
      <c r="I1" s="8"/>
      <c r="J1" s="8"/>
      <c r="K1" s="8"/>
      <c r="L1" s="8"/>
      <c r="M1" s="8"/>
      <c r="N1" s="8"/>
      <c r="O1" s="8"/>
      <c r="P1" s="8"/>
      <c r="Q1" s="8"/>
      <c r="R1" s="8"/>
      <c r="S1" s="8"/>
    </row>
    <row r="2" spans="1:19" x14ac:dyDescent="0.35">
      <c r="A2" s="8"/>
      <c r="B2" s="8"/>
      <c r="C2" s="8"/>
      <c r="D2" s="8"/>
      <c r="E2" s="8"/>
      <c r="F2" s="8"/>
      <c r="G2" s="8"/>
      <c r="H2" s="8"/>
      <c r="I2" s="8"/>
      <c r="J2" s="8"/>
      <c r="K2" s="8"/>
      <c r="L2" s="8"/>
      <c r="M2" s="8"/>
      <c r="N2" s="8"/>
      <c r="O2" s="8"/>
      <c r="P2" s="8"/>
      <c r="Q2" s="8"/>
      <c r="R2" s="8"/>
      <c r="S2" s="8"/>
    </row>
    <row r="3" spans="1:19" x14ac:dyDescent="0.35">
      <c r="A3" s="8"/>
      <c r="B3" s="8"/>
      <c r="C3" s="8"/>
      <c r="D3" s="8"/>
      <c r="E3" s="8"/>
      <c r="F3" s="8"/>
      <c r="G3" s="8"/>
      <c r="H3" s="8"/>
      <c r="I3" s="8"/>
      <c r="J3" s="8"/>
      <c r="K3" s="8"/>
      <c r="L3" s="8"/>
      <c r="M3" s="8"/>
      <c r="N3" s="8"/>
      <c r="O3" s="8"/>
      <c r="P3" s="8"/>
      <c r="Q3" s="8"/>
      <c r="R3" s="8"/>
      <c r="S3" s="8"/>
    </row>
    <row r="4" spans="1:19" x14ac:dyDescent="0.35">
      <c r="A4" s="8"/>
      <c r="B4" s="8"/>
      <c r="C4" s="8"/>
      <c r="D4" s="8"/>
      <c r="E4" s="8"/>
      <c r="F4" s="8"/>
      <c r="G4" s="8"/>
      <c r="H4" s="8"/>
      <c r="I4" s="8"/>
      <c r="J4" s="8"/>
      <c r="K4" s="8"/>
      <c r="L4" s="8"/>
      <c r="M4" s="8"/>
      <c r="N4" s="8"/>
      <c r="O4" s="8"/>
      <c r="P4" s="8"/>
      <c r="Q4" s="8"/>
      <c r="R4" s="8"/>
      <c r="S4" s="8"/>
    </row>
    <row r="5" spans="1:19" x14ac:dyDescent="0.35">
      <c r="A5" s="8"/>
      <c r="B5" s="8"/>
      <c r="C5" s="8"/>
      <c r="D5" s="8"/>
      <c r="E5" s="8"/>
      <c r="F5" s="8"/>
      <c r="G5" s="8"/>
      <c r="H5" s="8"/>
      <c r="I5" s="8"/>
      <c r="J5" s="8"/>
      <c r="K5" s="8"/>
      <c r="L5" s="8"/>
      <c r="M5" s="8"/>
      <c r="N5" s="8"/>
      <c r="O5" s="8"/>
      <c r="P5" s="8"/>
      <c r="Q5" s="8"/>
      <c r="R5" s="8"/>
      <c r="S5" s="8"/>
    </row>
    <row r="6" spans="1:19" x14ac:dyDescent="0.35">
      <c r="A6" s="8"/>
      <c r="B6" s="8"/>
      <c r="C6" s="8"/>
      <c r="D6" s="8"/>
      <c r="E6" s="8"/>
      <c r="F6" s="8"/>
      <c r="G6" s="8"/>
      <c r="H6" s="8"/>
      <c r="I6" s="8"/>
      <c r="J6" s="8"/>
      <c r="K6" s="8"/>
      <c r="L6" s="8"/>
      <c r="M6" s="8"/>
      <c r="N6" s="8"/>
      <c r="O6" s="8"/>
      <c r="P6" s="8"/>
      <c r="Q6" s="8"/>
      <c r="R6" s="8"/>
      <c r="S6" s="8"/>
    </row>
    <row r="7" spans="1:19" x14ac:dyDescent="0.35">
      <c r="A7" s="8"/>
      <c r="B7" s="8"/>
      <c r="C7" s="8"/>
      <c r="D7" s="8"/>
      <c r="E7" s="8"/>
      <c r="F7" s="8"/>
      <c r="G7" s="8"/>
      <c r="H7" s="8"/>
      <c r="I7" s="8"/>
      <c r="J7" s="8"/>
      <c r="K7" s="8"/>
      <c r="L7" s="8"/>
      <c r="M7" s="8"/>
      <c r="N7" s="8"/>
      <c r="O7" s="8"/>
      <c r="P7" s="8"/>
      <c r="Q7" s="8"/>
      <c r="R7" s="8"/>
      <c r="S7" s="8"/>
    </row>
    <row r="8" spans="1:19" x14ac:dyDescent="0.35">
      <c r="A8" s="8"/>
      <c r="B8" s="8"/>
      <c r="C8" s="8"/>
      <c r="D8" s="8"/>
      <c r="E8" s="8"/>
      <c r="F8" s="8"/>
      <c r="G8" s="8"/>
      <c r="H8" s="8"/>
      <c r="I8" s="8"/>
      <c r="J8" s="8"/>
      <c r="K8" s="8"/>
      <c r="L8" s="8"/>
      <c r="M8" s="8"/>
      <c r="N8" s="8"/>
      <c r="O8" s="8"/>
      <c r="P8" s="8"/>
      <c r="Q8" s="8"/>
      <c r="R8" s="8"/>
      <c r="S8" s="8"/>
    </row>
    <row r="9" spans="1:19" x14ac:dyDescent="0.35">
      <c r="A9" s="8"/>
      <c r="B9" s="8"/>
      <c r="C9" s="8"/>
      <c r="D9" s="8"/>
      <c r="E9" s="8"/>
      <c r="F9" s="8"/>
      <c r="G9" s="8"/>
      <c r="H9" s="8"/>
      <c r="I9" s="8"/>
      <c r="J9" s="8"/>
      <c r="K9" s="8"/>
      <c r="L9" s="8"/>
      <c r="M9" s="8"/>
      <c r="N9" s="8"/>
      <c r="O9" s="8"/>
      <c r="P9" s="8"/>
      <c r="Q9" s="8"/>
      <c r="R9" s="8"/>
      <c r="S9" s="8"/>
    </row>
    <row r="10" spans="1:19" x14ac:dyDescent="0.35">
      <c r="A10" s="8"/>
      <c r="B10" s="8"/>
      <c r="C10" s="8"/>
      <c r="D10" s="8"/>
      <c r="E10" s="8"/>
      <c r="F10" s="8"/>
      <c r="G10" s="8"/>
      <c r="H10" s="8"/>
      <c r="I10" s="8"/>
      <c r="J10" s="8"/>
      <c r="K10" s="8"/>
      <c r="L10" s="8"/>
      <c r="M10" s="8"/>
      <c r="N10" s="8"/>
      <c r="O10" s="8"/>
      <c r="P10" s="8"/>
      <c r="Q10" s="8"/>
      <c r="R10" s="8"/>
      <c r="S10" s="8"/>
    </row>
    <row r="11" spans="1:19" x14ac:dyDescent="0.35">
      <c r="A11" s="8"/>
      <c r="B11" s="8"/>
      <c r="C11" s="8"/>
      <c r="D11" s="8"/>
      <c r="E11" s="8"/>
      <c r="F11" s="8"/>
      <c r="G11" s="8"/>
      <c r="H11" s="8"/>
      <c r="I11" s="8"/>
      <c r="J11" s="8"/>
      <c r="K11" s="8"/>
      <c r="L11" s="8"/>
      <c r="M11" s="8"/>
      <c r="N11" s="8"/>
      <c r="O11" s="8"/>
      <c r="P11" s="8"/>
      <c r="Q11" s="8"/>
      <c r="R11" s="8"/>
      <c r="S11" s="8"/>
    </row>
    <row r="12" spans="1:19" x14ac:dyDescent="0.35">
      <c r="A12" s="8"/>
      <c r="B12" s="8"/>
      <c r="C12" s="8"/>
      <c r="D12" s="8"/>
      <c r="E12" s="8"/>
      <c r="F12" s="8"/>
      <c r="G12" s="8"/>
      <c r="H12" s="8"/>
      <c r="I12" s="8"/>
      <c r="J12" s="8"/>
      <c r="K12" s="8"/>
      <c r="L12" s="8"/>
      <c r="M12" s="8"/>
      <c r="N12" s="8"/>
      <c r="O12" s="8"/>
      <c r="P12" s="8"/>
      <c r="Q12" s="8"/>
      <c r="R12" s="8"/>
      <c r="S12" s="8"/>
    </row>
    <row r="13" spans="1:19" x14ac:dyDescent="0.35">
      <c r="A13" s="8"/>
      <c r="B13" s="8"/>
      <c r="C13" s="8"/>
      <c r="D13" s="8"/>
      <c r="E13" s="8"/>
      <c r="F13" s="8"/>
      <c r="G13" s="8"/>
      <c r="H13" s="8"/>
      <c r="I13" s="8"/>
      <c r="J13" s="8"/>
      <c r="K13" s="8"/>
      <c r="L13" s="8"/>
      <c r="M13" s="8"/>
      <c r="N13" s="8"/>
      <c r="O13" s="8"/>
      <c r="P13" s="8"/>
      <c r="Q13" s="8"/>
      <c r="R13" s="8"/>
      <c r="S13" s="8"/>
    </row>
    <row r="14" spans="1:19" x14ac:dyDescent="0.35">
      <c r="A14" s="8"/>
      <c r="B14" s="8"/>
      <c r="C14" s="8"/>
      <c r="D14" s="8"/>
      <c r="E14" s="8"/>
      <c r="F14" s="8"/>
      <c r="G14" s="8"/>
      <c r="H14" s="8"/>
      <c r="I14" s="8"/>
      <c r="J14" s="8"/>
      <c r="K14" s="8"/>
      <c r="L14" s="8"/>
      <c r="M14" s="8"/>
      <c r="N14" s="8"/>
      <c r="O14" s="8"/>
      <c r="P14" s="8"/>
      <c r="Q14" s="8"/>
      <c r="R14" s="8"/>
      <c r="S14" s="8"/>
    </row>
    <row r="15" spans="1:19" x14ac:dyDescent="0.35">
      <c r="A15" s="8"/>
      <c r="B15" s="8"/>
      <c r="C15" s="8"/>
      <c r="D15" s="8"/>
      <c r="E15" s="8"/>
      <c r="F15" s="8"/>
      <c r="G15" s="8"/>
      <c r="H15" s="8"/>
      <c r="I15" s="8"/>
      <c r="J15" s="8"/>
      <c r="K15" s="8"/>
      <c r="L15" s="8"/>
      <c r="M15" s="8"/>
      <c r="N15" s="8"/>
      <c r="O15" s="8"/>
      <c r="P15" s="8"/>
      <c r="Q15" s="8"/>
      <c r="R15" s="8"/>
      <c r="S15" s="8"/>
    </row>
    <row r="16" spans="1:19" x14ac:dyDescent="0.35">
      <c r="A16" s="8"/>
      <c r="B16" s="8"/>
      <c r="C16" s="8"/>
      <c r="D16" s="8"/>
      <c r="E16" s="8"/>
      <c r="F16" s="8"/>
      <c r="G16" s="8"/>
      <c r="H16" s="8"/>
      <c r="I16" s="8"/>
      <c r="J16" s="8"/>
      <c r="K16" s="8"/>
      <c r="L16" s="8"/>
      <c r="M16" s="8"/>
      <c r="N16" s="8"/>
      <c r="O16" s="8"/>
      <c r="P16" s="8"/>
      <c r="Q16" s="8"/>
      <c r="R16" s="8"/>
      <c r="S16" s="8"/>
    </row>
    <row r="17" spans="1:19" x14ac:dyDescent="0.35">
      <c r="A17" s="8"/>
      <c r="B17" s="8"/>
      <c r="C17" s="8"/>
      <c r="D17" s="8"/>
      <c r="E17" s="8"/>
      <c r="F17" s="8"/>
      <c r="G17" s="8"/>
      <c r="H17" s="8"/>
      <c r="I17" s="8"/>
      <c r="J17" s="8"/>
      <c r="K17" s="8"/>
      <c r="L17" s="8"/>
      <c r="M17" s="8"/>
      <c r="N17" s="8"/>
      <c r="O17" s="8"/>
      <c r="P17" s="8"/>
      <c r="Q17" s="8"/>
      <c r="R17" s="8"/>
      <c r="S17" s="8"/>
    </row>
    <row r="18" spans="1:19" x14ac:dyDescent="0.35">
      <c r="A18" s="8"/>
      <c r="B18" s="8"/>
      <c r="C18" s="8"/>
      <c r="D18" s="8"/>
      <c r="E18" s="8"/>
      <c r="F18" s="8"/>
      <c r="G18" s="8"/>
      <c r="H18" s="8"/>
      <c r="I18" s="8"/>
      <c r="J18" s="8"/>
      <c r="K18" s="8"/>
      <c r="L18" s="8"/>
      <c r="M18" s="8"/>
      <c r="N18" s="8"/>
      <c r="O18" s="8"/>
      <c r="P18" s="8"/>
      <c r="Q18" s="8"/>
      <c r="R18" s="8"/>
      <c r="S18" s="8"/>
    </row>
    <row r="19" spans="1:19" x14ac:dyDescent="0.35">
      <c r="A19" s="8"/>
      <c r="B19" s="8"/>
      <c r="C19" s="8"/>
      <c r="D19" s="8"/>
      <c r="E19" s="8"/>
      <c r="F19" s="8"/>
      <c r="G19" s="8"/>
      <c r="H19" s="8"/>
      <c r="I19" s="8"/>
      <c r="J19" s="8"/>
      <c r="K19" s="8"/>
      <c r="L19" s="8"/>
      <c r="M19" s="8"/>
      <c r="N19" s="8"/>
      <c r="O19" s="8"/>
      <c r="P19" s="8"/>
      <c r="Q19" s="8"/>
      <c r="R19" s="8"/>
      <c r="S19" s="8"/>
    </row>
    <row r="20" spans="1:19" x14ac:dyDescent="0.35">
      <c r="A20" s="8"/>
      <c r="B20" s="8"/>
      <c r="C20" s="8"/>
      <c r="D20" s="8"/>
      <c r="E20" s="8"/>
      <c r="F20" s="8"/>
      <c r="G20" s="8"/>
      <c r="H20" s="8"/>
      <c r="I20" s="8"/>
      <c r="J20" s="8"/>
      <c r="K20" s="8"/>
      <c r="L20" s="8"/>
      <c r="M20" s="8"/>
      <c r="N20" s="8"/>
      <c r="O20" s="8"/>
      <c r="P20" s="8"/>
      <c r="Q20" s="8"/>
      <c r="R20" s="8"/>
      <c r="S20" s="8"/>
    </row>
    <row r="21" spans="1:19" x14ac:dyDescent="0.35">
      <c r="A21" s="8"/>
      <c r="B21" s="8"/>
      <c r="C21" s="8"/>
      <c r="D21" s="8"/>
      <c r="E21" s="8"/>
      <c r="F21" s="8"/>
      <c r="G21" s="8"/>
      <c r="H21" s="8"/>
      <c r="I21" s="8"/>
      <c r="J21" s="8"/>
      <c r="K21" s="8"/>
      <c r="L21" s="8"/>
      <c r="M21" s="8"/>
      <c r="N21" s="8"/>
      <c r="O21" s="8"/>
      <c r="P21" s="8"/>
      <c r="Q21" s="8"/>
      <c r="R21" s="8"/>
      <c r="S21" s="8"/>
    </row>
    <row r="22" spans="1:19" x14ac:dyDescent="0.35">
      <c r="A22" s="8"/>
      <c r="B22" s="8"/>
      <c r="C22" s="8"/>
      <c r="D22" s="8"/>
      <c r="E22" s="8"/>
      <c r="F22" s="8"/>
      <c r="G22" s="8"/>
      <c r="H22" s="8"/>
      <c r="I22" s="8"/>
      <c r="J22" s="8"/>
      <c r="K22" s="8"/>
      <c r="L22" s="8"/>
      <c r="M22" s="8"/>
      <c r="N22" s="8"/>
      <c r="O22" s="8"/>
      <c r="P22" s="8"/>
      <c r="Q22" s="8"/>
      <c r="R22" s="8"/>
      <c r="S22" s="8"/>
    </row>
    <row r="23" spans="1:19" x14ac:dyDescent="0.35">
      <c r="A23" s="8"/>
      <c r="B23" s="8"/>
      <c r="C23" s="8"/>
      <c r="D23" s="8"/>
      <c r="E23" s="8"/>
      <c r="F23" s="8"/>
      <c r="G23" s="8"/>
      <c r="H23" s="8"/>
      <c r="I23" s="8"/>
      <c r="J23" s="8"/>
      <c r="K23" s="8"/>
      <c r="L23" s="8"/>
      <c r="M23" s="8"/>
      <c r="N23" s="8"/>
      <c r="O23" s="8"/>
      <c r="P23" s="8"/>
      <c r="Q23" s="8"/>
      <c r="R23" s="8"/>
      <c r="S23" s="8"/>
    </row>
    <row r="24" spans="1:19" x14ac:dyDescent="0.35">
      <c r="A24" s="8"/>
      <c r="B24" s="8"/>
      <c r="C24" s="8"/>
      <c r="D24" s="8"/>
      <c r="E24" s="8"/>
      <c r="F24" s="8"/>
      <c r="G24" s="8"/>
      <c r="H24" s="8"/>
      <c r="I24" s="8"/>
      <c r="J24" s="8"/>
      <c r="K24" s="8"/>
      <c r="L24" s="8"/>
      <c r="M24" s="8"/>
      <c r="N24" s="8"/>
      <c r="O24" s="8"/>
      <c r="P24" s="8"/>
      <c r="Q24" s="8"/>
      <c r="R24" s="8"/>
      <c r="S24" s="8"/>
    </row>
    <row r="25" spans="1:19" x14ac:dyDescent="0.35">
      <c r="A25" s="16" t="s">
        <v>37</v>
      </c>
      <c r="B25" s="17"/>
      <c r="C25" s="17"/>
      <c r="D25" s="17"/>
      <c r="E25" s="17"/>
      <c r="F25" s="17"/>
      <c r="G25" s="17"/>
      <c r="H25" s="17"/>
      <c r="I25" s="17"/>
      <c r="J25" s="17"/>
      <c r="K25" s="17"/>
      <c r="L25" s="17"/>
      <c r="M25" s="17"/>
      <c r="N25" s="17"/>
      <c r="O25" s="17"/>
      <c r="P25" s="8"/>
      <c r="Q25" s="8"/>
      <c r="R25" s="8"/>
      <c r="S25" s="8"/>
    </row>
  </sheetData>
  <mergeCells count="1">
    <mergeCell ref="A25:O25"/>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39CC36B-D7A1-4BDC-940B-1570A54405EF}">
  <ds:schemaRefs/>
</ds:datastoreItem>
</file>

<file path=customXml/itemProps2.xml><?xml version="1.0" encoding="utf-8"?>
<ds:datastoreItem xmlns:ds="http://schemas.openxmlformats.org/officeDocument/2006/customXml" ds:itemID="{9FC57E8C-5E7B-419A-BBBC-355315BD6EEB}">
  <ds:schemaRefs/>
</ds:datastoreItem>
</file>

<file path=customXml/itemProps3.xml><?xml version="1.0" encoding="utf-8"?>
<ds:datastoreItem xmlns:ds="http://schemas.openxmlformats.org/officeDocument/2006/customXml" ds:itemID="{B07DD963-670A-4814-85F4-72A4F9B7E10A}">
  <ds:schemaRefs/>
</ds:datastoreItem>
</file>

<file path=customXml/itemProps4.xml><?xml version="1.0" encoding="utf-8"?>
<ds:datastoreItem xmlns:ds="http://schemas.openxmlformats.org/officeDocument/2006/customXml" ds:itemID="{B28E4BDD-A829-42C4-A14F-A29E75D100A5}">
  <ds:schemaRefs/>
</ds:datastoreItem>
</file>

<file path=customXml/itemProps5.xml><?xml version="1.0" encoding="utf-8"?>
<ds:datastoreItem xmlns:ds="http://schemas.openxmlformats.org/officeDocument/2006/customXml" ds:itemID="{CF6ED45A-E8F3-44AF-9EA6-05916A7BBCF7}">
  <ds:schemaRefs/>
</ds:datastoreItem>
</file>

<file path=customXml/itemProps6.xml><?xml version="1.0" encoding="utf-8"?>
<ds:datastoreItem xmlns:ds="http://schemas.openxmlformats.org/officeDocument/2006/customXml" ds:itemID="{0DB85479-9AD8-402C-B08F-0809D11A3DE6}">
  <ds:schemaRefs/>
</ds:datastoreItem>
</file>

<file path=customXml/itemProps7.xml><?xml version="1.0" encoding="utf-8"?>
<ds:datastoreItem xmlns:ds="http://schemas.openxmlformats.org/officeDocument/2006/customXml" ds:itemID="{FB914E99-5C4E-4940-975B-E1BD0AE279A1}">
  <ds:schemaRefs/>
</ds:datastoreItem>
</file>

<file path=customXml/itemProps8.xml><?xml version="1.0" encoding="utf-8"?>
<ds:datastoreItem xmlns:ds="http://schemas.openxmlformats.org/officeDocument/2006/customXml" ds:itemID="{D6A9A8CF-F571-4756-A502-14AB059F39A5}">
  <ds:schemaRefs/>
</ds:datastoreItem>
</file>

<file path=customXml/itemProps9.xml><?xml version="1.0" encoding="utf-8"?>
<ds:datastoreItem xmlns:ds="http://schemas.openxmlformats.org/officeDocument/2006/customXml" ds:itemID="{42FA27EF-B17F-490D-A4A0-D74E35597DD9}">
  <ds:schemaRefs/>
</ds:datastoreItem>
</file>

<file path=customXml/itemProps10.xml><?xml version="1.0" encoding="utf-8"?>
<ds:datastoreItem xmlns:ds="http://schemas.openxmlformats.org/officeDocument/2006/customXml" ds:itemID="{5022281F-D5AD-4372-9267-13AEE254BE62}">
  <ds:schemaRefs/>
</ds:datastoreItem>
</file>

<file path=customXml/itemProps11.xml><?xml version="1.0" encoding="utf-8"?>
<ds:datastoreItem xmlns:ds="http://schemas.openxmlformats.org/officeDocument/2006/customXml" ds:itemID="{A1852C6B-9E59-4666-B192-65DE8098DA26}">
  <ds:schemaRefs/>
</ds:datastoreItem>
</file>

<file path=customXml/itemProps12.xml><?xml version="1.0" encoding="utf-8"?>
<ds:datastoreItem xmlns:ds="http://schemas.openxmlformats.org/officeDocument/2006/customXml" ds:itemID="{6953A7A4-A818-401F-A06B-1428F775CB95}">
  <ds:schemaRefs/>
</ds:datastoreItem>
</file>

<file path=customXml/itemProps13.xml><?xml version="1.0" encoding="utf-8"?>
<ds:datastoreItem xmlns:ds="http://schemas.openxmlformats.org/officeDocument/2006/customXml" ds:itemID="{8525DC46-56A1-490F-B081-8D4453047BBE}">
  <ds:schemaRefs/>
</ds:datastoreItem>
</file>

<file path=customXml/itemProps14.xml><?xml version="1.0" encoding="utf-8"?>
<ds:datastoreItem xmlns:ds="http://schemas.openxmlformats.org/officeDocument/2006/customXml" ds:itemID="{21244890-F729-4A26-A6FF-35A744BDB4DF}">
  <ds:schemaRefs/>
</ds:datastoreItem>
</file>

<file path=customXml/itemProps15.xml><?xml version="1.0" encoding="utf-8"?>
<ds:datastoreItem xmlns:ds="http://schemas.openxmlformats.org/officeDocument/2006/customXml" ds:itemID="{A6FE230E-CAE6-4E2B-8306-CF9DC3FF5288}">
  <ds:schemaRefs/>
</ds:datastoreItem>
</file>

<file path=customXml/itemProps16.xml><?xml version="1.0" encoding="utf-8"?>
<ds:datastoreItem xmlns:ds="http://schemas.openxmlformats.org/officeDocument/2006/customXml" ds:itemID="{73FBAF58-2F79-42C2-B421-11431F809391}">
  <ds:schemaRefs>
    <ds:schemaRef ds:uri="http://schemas.microsoft.com/DataMashup"/>
  </ds:schemaRefs>
</ds:datastoreItem>
</file>

<file path=customXml/itemProps17.xml><?xml version="1.0" encoding="utf-8"?>
<ds:datastoreItem xmlns:ds="http://schemas.openxmlformats.org/officeDocument/2006/customXml" ds:itemID="{B98A9611-EA42-4867-A586-0B39A334E063}">
  <ds:schemaRefs/>
</ds:datastoreItem>
</file>

<file path=customXml/itemProps18.xml><?xml version="1.0" encoding="utf-8"?>
<ds:datastoreItem xmlns:ds="http://schemas.openxmlformats.org/officeDocument/2006/customXml" ds:itemID="{1EC7C86B-FFF1-4757-AC8D-BBA8DE29E01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Pivot_report</vt:lpstr>
      <vt:lpstr>Average Wait Time Daily Trend</vt:lpstr>
      <vt:lpstr>Dashboard</vt:lpstr>
      <vt:lpstr>Daily Er No of Patient</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gagan kamboz</dc:creator>
  <cp:lastModifiedBy>gagan kamboz</cp:lastModifiedBy>
  <cp:lastPrinted>2025-12-24T07:43:10Z</cp:lastPrinted>
  <dcterms:created xsi:type="dcterms:W3CDTF">2025-12-23T08:47:04Z</dcterms:created>
  <dcterms:modified xsi:type="dcterms:W3CDTF">2025-12-24T08:03:08Z</dcterms:modified>
</cp:coreProperties>
</file>